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9161680db48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ls" sheetId="1" r:id="Rb2fb7cdb2b734440"/>
    <x:sheet xmlns:r="http://schemas.openxmlformats.org/officeDocument/2006/relationships" name="Funding Accounts" sheetId="2" r:id="R8a015f667191429c"/>
    <x:sheet xmlns:r="http://schemas.openxmlformats.org/officeDocument/2006/relationships" name="Monthly Plan" sheetId="3" r:id="Rd139ef2e78314870"/>
    <x:sheet xmlns:r="http://schemas.openxmlformats.org/officeDocument/2006/relationships" name="PWA Data" sheetId="4" r:id="R38ad5f3c8343492d"/>
    <x:sheet xmlns:r="http://schemas.openxmlformats.org/officeDocument/2006/relationships" name="Instructions" sheetId="5" r:id="Rc1627124b717486d"/>
  </x:sheets>
</x:workbook>
</file>

<file path=xl/sharedStrings.xml><?xml version="1.0" encoding="utf-8"?>
<x:sst xmlns:x="http://schemas.openxmlformats.org/spreadsheetml/2006/main">
  <x:si>
    <x:t xml:space="preserve">BILLS MASTER LIST</x:t>
  </x:si>
  <x:si>
    <x:t xml:space="preserve">Bill ID</x:t>
  </x:si>
  <x:si>
    <x:t xml:space="preserve">Bill Name</x:t>
  </x:si>
  <x:si>
    <x:t xml:space="preserve">Category</x:t>
  </x:si>
  <x:si>
    <x:t xml:space="preserve">Current Balance ($)</x:t>
  </x:si>
  <x:si>
    <x:t xml:space="preserve">Minimum Due ($)</x:t>
  </x:si>
  <x:si>
    <x:t xml:space="preserve">Actual Payment ($)</x:t>
  </x:si>
  <x:si>
    <x:t xml:space="preserve">Due Date</x:t>
  </x:si>
  <x:si>
    <x:t xml:space="preserve">0% Promo?</x:t>
  </x:si>
  <x:si>
    <x:t xml:space="preserve">Promo End Date</x:t>
  </x:si>
  <x:si>
    <x:t xml:space="preserve">Months Remaining</x:t>
  </x:si>
  <x:si>
    <x:t xml:space="preserve">Status</x:t>
  </x:si>
  <x:si>
    <x:t xml:space="preserve">Funding Notes</x:t>
  </x:si>
  <x:si>
    <x:t xml:space="preserve">Active?</x:t>
  </x:si>
  <x:si>
    <x:t xml:space="preserve">Rooms To Go</x:t>
  </x:si>
  <x:si>
    <x:t xml:space="preserve">Financing</x:t>
  </x:si>
  <x:si>
    <x:t xml:space="preserve">Yes</x:t>
  </x:si>
  <x:si>
    <x:t xml:space="preserve">Planned</x:t>
  </x:si>
  <x:si>
    <x:t xml:space="preserve">Care Credit / Good Feet</x:t>
  </x:si>
  <x:si>
    <x:t xml:space="preserve">Priority: promo ends soon</x:t>
  </x:si>
  <x:si>
    <x:t xml:space="preserve">JCPenney</x:t>
  </x:si>
  <x:si>
    <x:t xml:space="preserve">Samsung Phone</x:t>
  </x:si>
  <x:si>
    <x:t xml:space="preserve">Citi - Marco (double cash)</x:t>
  </x:si>
  <x:si>
    <x:t xml:space="preserve">Pay Off Monthly</x:t>
  </x:si>
  <x:si>
    <x:t xml:space="preserve">No</x:t>
  </x:si>
  <x:si>
    <x:t xml:space="preserve">Replace with current statement</x:t>
  </x:si>
  <x:si>
    <x:t xml:space="preserve">US Bank - glp1</x:t>
  </x:si>
  <x:si>
    <x:t xml:space="preserve">Gemini BTC CC</x:t>
  </x:si>
  <x:si>
    <x:t xml:space="preserve">Amex - Marco</x:t>
  </x:si>
  <x:si>
    <x:t xml:space="preserve">Taymis Discover</x:t>
  </x:si>
  <x:si>
    <x:t xml:space="preserve">Taymis US Bank</x:t>
  </x:si>
  <x:si>
    <x:t xml:space="preserve">Chase Freedom</x:t>
  </x:si>
  <x:si>
    <x:t xml:space="preserve">Taymis- Amex</x:t>
  </x:si>
  <x:si>
    <x:t xml:space="preserve">Best Buy Computer Taymis Mom June 2025 + Kitchen App</x:t>
  </x:si>
  <x:si>
    <x:t xml:space="preserve">ALLY ACCOUNTS &amp; BUCKETS</x:t>
  </x:si>
  <x:si>
    <x:t xml:space="preserve">Source ID</x:t>
  </x:si>
  <x:si>
    <x:t xml:space="preserve">Account</x:t>
  </x:si>
  <x:si>
    <x:t xml:space="preserve">Bucket</x:t>
  </x:si>
  <x:si>
    <x:t xml:space="preserve">Type</x:t>
  </x:si>
  <x:si>
    <x:t xml:space="preserve">Protected / Reserved ($)</x:t>
  </x:si>
  <x:si>
    <x:t xml:space="preserve">Available for Bills ($)</x:t>
  </x:si>
  <x:si>
    <x:t xml:space="preserve">Use This Month ($)</x:t>
  </x:si>
  <x:si>
    <x:t xml:space="preserve">After Funding ($)</x:t>
  </x:si>
  <x:si>
    <x:t xml:space="preserve">Priority</x:t>
  </x:si>
  <x:si>
    <x:t xml:space="preserve">ally-checking</x:t>
  </x:si>
  <x:si>
    <x:t xml:space="preserve">Ally Checking</x:t>
  </x:si>
  <x:si>
    <x:t xml:space="preserve">Checking</x:t>
  </x:si>
  <x:si>
    <x:t xml:space="preserve">ally-savings-bills</x:t>
  </x:si>
  <x:si>
    <x:t xml:space="preserve">Ally Savings</x:t>
  </x:si>
  <x:si>
    <x:t xml:space="preserve">Bills</x:t>
  </x:si>
  <x:si>
    <x:t xml:space="preserve">Savings Bucket</x:t>
  </x:si>
  <x:si>
    <x:t xml:space="preserve">ally-savings-general</x:t>
  </x:si>
  <x:si>
    <x:t xml:space="preserve">General Savings</x:t>
  </x:si>
  <x:si>
    <x:t xml:space="preserve">ally-savings-emergency</x:t>
  </x:si>
  <x:si>
    <x:t xml:space="preserve">Emergency Fund</x:t>
  </x:si>
  <x:si>
    <x:t xml:space="preserve">ally-savings-home</x:t>
  </x:si>
  <x:si>
    <x:t xml:space="preserve">Home Projects</x:t>
  </x:si>
  <x:si>
    <x:t xml:space="preserve">ally-savings-college</x:t>
  </x:si>
  <x:si>
    <x:t xml:space="preserve">Prepaid College</x:t>
  </x:si>
  <x:si>
    <x:t xml:space="preserve">MONTHLY BILL RUN</x:t>
  </x:si>
  <x:si>
    <x:t xml:space="preserve">WORKFLOW</x:t>
  </x:si>
  <x:si>
    <x:t xml:space="preserve">This sheet is intentionally simple and is used by the PWA importer. Do not rename the Bills or Funding Accounts sheets.</x:t>
  </x:si>
  <x:si>
    <x:t xml:space="preserve">The PWA reads directly from the Bills and Funding Accounts worksheets.</x:t>
  </x:si>
  <x:si>
    <x:t xml:space="preserve">BILLS PWA + EXCEL TEST GUIDE</x:t>
  </x:si>
</x:sst>
</file>

<file path=xl/styles.xml><?xml version="1.0" encoding="utf-8"?>
<x:styleSheet xmlns:x="http://schemas.openxmlformats.org/spreadsheetml/2006/main">
  <x:numFmts count="6">
    <x:numFmt numFmtId="8" formatCode="&quot;$&quot;#,##0.00_);[Red]\(&quot;$&quot;#,##0.00\)"/>
    <x:numFmt numFmtId="164" formatCode="\$#,##0.00;[Red]\(\$#,##0.00\);\-"/>
    <x:numFmt numFmtId="165" formatCode="mm/dd/yyyy"/>
    <x:numFmt numFmtId="166" formatCode="mmmm\ yyyy"/>
    <x:numFmt numFmtId="200" formatCode="$#,##0.00;[Red]($#,##0.00);-"/>
    <x:numFmt numFmtId="201" formatCode="mmmm yyyy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475569"/>
      <x:name val="Carlito"/>
    </x:font>
    <x:font>
      <x:b/>
      <x:sz val="11"/>
      <x:color rgb="FF2563EB"/>
      <x:name val="Carlito"/>
    </x:font>
    <x:font>
      <x:b/>
      <x:sz val="11"/>
      <x:name val="Carlito"/>
    </x:font>
    <x:font>
      <x:b/>
      <x:sz val="11"/>
      <x:color rgb="FFB45309"/>
      <x:name val="Carlito"/>
    </x:font>
    <x:font>
      <x:sz val="11"/>
      <x:color rgb="FF000000"/>
      <x:name val="Aptos Narrow"/>
    </x:font>
    <x:font>
      <x:b/>
      <x:sz val="11"/>
      <x:color rgb="FF000000"/>
      <x:name val="Aptos Narrow"/>
    </x:font>
    <x:font>
      <x:b/>
      <x:sz val="11"/>
      <x:color rgb="FFFFFFFF"/>
      <x:name val="Aptos Narrow"/>
    </x:font>
  </x:fonts>
  <x:fills count="10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2563EB"/>
      </x:patternFill>
    </x:fill>
    <x:fill>
      <x:patternFill patternType="solid">
        <x:fgColor rgb="FFF1F5F9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00B0F0"/>
      </x:patternFill>
    </x:fill>
    <x:fill>
      <x:patternFill patternType="solid">
        <x:fgColor rgb="FFFFC000"/>
      </x:patternFill>
    </x:fill>
    <x:fill>
      <x:patternFill patternType="solid">
        <x:fgColor rgb="FF0E2841"/>
      </x:patternFill>
    </x:fill>
  </x:fills>
  <x:borders count="3">
    <x:border/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2" fillId="3" borderId="0" xfId="0" applyFont="1" applyFill="1" applyAlignment="1">
      <x:alignment horizontal="center" vertical="center" wrapText="1"/>
    </x:xf>
    <x:xf numFmtId="0" fontId="3" fillId="0" borderId="0" xfId="0" applyFont="1"/>
    <x:xf numFmtId="164" fontId="3" fillId="0" borderId="0" xfId="0" applyNumberFormat="1" applyFont="1"/>
    <x:xf numFmtId="165" fontId="3" fillId="0" borderId="0" xfId="0" applyNumberFormat="1" applyFont="1"/>
    <x:xf numFmtId="0" fontId="4" fillId="0" borderId="0" xfId="0" applyFont="1"/>
    <x:xf numFmtId="164" fontId="4" fillId="0" borderId="0" xfId="0" applyNumberFormat="1" applyFont="1"/>
    <x:xf numFmtId="0" fontId="5" fillId="4" borderId="0" xfId="0" applyFont="1" applyFill="1"/>
    <x:xf numFmtId="166" fontId="3" fillId="0" borderId="0" xfId="0" applyNumberFormat="1" applyFont="1"/>
    <x:xf numFmtId="0" fontId="0" fillId="0" borderId="0" xfId="0" applyAlignment="1">
      <x:alignment wrapText="1"/>
    </x:xf>
    <x:xf numFmtId="0" fontId="6" fillId="5" borderId="0" xfId="0" applyFont="1" applyFill="1" applyAlignment="1">
      <x:alignment horizontal="center" wrapText="1"/>
    </x:xf>
    <x:xf numFmtId="0" fontId="7" fillId="0" borderId="0" xfId="0" applyFont="1" applyAlignment="1">
      <x:alignment wrapText="1"/>
    </x:xf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/>
    </x:xf>
    <x:xf numFmtId="0" fontId="8" fillId="6" borderId="0" xfId="0" applyFont="1" applyFill="1" applyAlignment="1">
      <x:alignment wrapText="1"/>
    </x:xf>
    <x:xf numFmtId="0" fontId="0" fillId="0" borderId="0" xfId="0"/>
    <x:xf numFmtId="0" fontId="1" fillId="2" borderId="0" xfId="0" applyFont="1" applyFill="1" applyAlignment="1">
      <x:alignment horizontal="center"/>
    </x:xf>
    <x:xf numFmtId="8" fontId="10" fillId="7" borderId="1" xfId="0" applyNumberFormat="1" applyFont="1" applyFill="1" applyBorder="1"/>
    <x:xf numFmtId="0" fontId="9" fillId="8" borderId="1" xfId="0" applyFont="1" applyFill="1" applyBorder="1"/>
    <x:xf numFmtId="8" fontId="10" fillId="8" borderId="1" xfId="0" applyNumberFormat="1" applyFont="1" applyFill="1" applyBorder="1"/>
    <x:xf numFmtId="0" fontId="11" fillId="9" borderId="1" xfId="0" applyFont="1" applyFill="1" applyBorder="1"/>
    <x:xf numFmtId="4" fontId="11" fillId="9" borderId="1" xfId="0" applyNumberFormat="1" applyFont="1" applyFill="1" applyBorder="1"/>
    <x:xf numFmtId="8" fontId="0" fillId="0" borderId="0" xfId="0" applyNumberFormat="1" applyAlignment="1">
      <x:alignment vertical="center" wrapText="1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/>
    <x:xf numFmtId="164" fontId="3" fillId="0" borderId="2" xfId="0" applyNumberFormat="1" applyFont="1" applyFill="1" applyBorder="1"/>
    <x:xf numFmtId="165" fontId="3" fillId="0" borderId="2" xfId="0" applyNumberFormat="1" applyFont="1" applyFill="1" applyBorder="1"/>
    <x:xf numFmtId="0" fontId="4" fillId="0" borderId="2" xfId="0" applyNumberFormat="1" applyFont="1" applyFill="1" applyBorder="1"/>
    <x:xf numFmtId="164" fontId="4" fillId="0" borderId="2" xfId="0" applyNumberFormat="1" applyFont="1" applyFill="1" applyBorder="1"/>
    <x:xf numFmtId="0" fontId="5" fillId="4" borderId="2" xfId="0" applyNumberFormat="1" applyFont="1" applyFill="1" applyBorder="1"/>
    <x:xf numFmtId="166" fontId="3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7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/>
    </x:xf>
    <x:xf numFmtId="0" fontId="8" fillId="6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/>
    </x:xf>
    <x:xf numFmtId="8" fontId="10" fillId="7" borderId="2" xfId="0" applyNumberFormat="1" applyFont="1" applyFill="1" applyBorder="1"/>
    <x:xf numFmtId="0" fontId="9" fillId="8" borderId="2" xfId="0" applyNumberFormat="1" applyFont="1" applyFill="1" applyBorder="1"/>
    <x:xf numFmtId="8" fontId="10" fillId="8" borderId="2" xfId="0" applyNumberFormat="1" applyFont="1" applyFill="1" applyBorder="1"/>
    <x:xf numFmtId="0" fontId="11" fillId="9" borderId="2" xfId="0" applyNumberFormat="1" applyFont="1" applyFill="1" applyBorder="1"/>
    <x:xf numFmtId="4" fontId="11" fillId="9" borderId="2" xfId="0" applyNumberFormat="1" applyFont="1" applyFill="1" applyBorder="1"/>
    <x:xf numFmtId="8" fontId="0" fillId="0" borderId="2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/>
    <x:xf numFmtId="200" fontId="4" fillId="0" borderId="2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f2ab9819c4e6e" /><Relationship Type="http://schemas.openxmlformats.org/officeDocument/2006/relationships/theme" Target="/xl/theme/theme1.xml" Id="R9014bbc8845e4b65" /><Relationship Type="http://schemas.openxmlformats.org/officeDocument/2006/relationships/sharedStrings" Target="/xl/sharedStrings.xml" Id="R7a50cbc0e9c142ce" /><Relationship Type="http://schemas.openxmlformats.org/officeDocument/2006/relationships/worksheet" Target="/xl/worksheets/sheet1.xml" Id="Rb2fb7cdb2b734440" /><Relationship Type="http://schemas.openxmlformats.org/officeDocument/2006/relationships/worksheet" Target="/xl/worksheets/sheet2.xml" Id="R8a015f667191429c" /><Relationship Type="http://schemas.openxmlformats.org/officeDocument/2006/relationships/worksheet" Target="/xl/worksheets/sheet3.xml" Id="Rd139ef2e78314870" /><Relationship Type="http://schemas.openxmlformats.org/officeDocument/2006/relationships/worksheet" Target="/xl/worksheets/sheet4.xml" Id="R38ad5f3c8343492d" /><Relationship Type="http://schemas.openxmlformats.org/officeDocument/2006/relationships/worksheet" Target="/xl/worksheets/sheet5.xml" Id="Rc1627124b717486d" /></Relationships>
</file>

<file path=xl/tables/table1.xml><?xml version="1.0" encoding="utf-8"?>
<x:table xmlns:x="http://schemas.openxmlformats.org/spreadsheetml/2006/main" id="1" name="BillsTable" displayName="BillsTable" ref="A2:M16">
  <x:tableColumns count="13">
    <x:tableColumn id="1" name="Bill ID"/>
    <x:tableColumn id="2" name="Bill Name"/>
    <x:tableColumn id="3" name="Category"/>
    <x:tableColumn id="4" name="Current Balance ($)"/>
    <x:tableColumn id="5" name="Minimum Due ($)"/>
    <x:tableColumn id="7" name="Actual Payment ($)"/>
    <x:tableColumn id="8" name="Due Date"/>
    <x:tableColumn id="9" name="0% Promo?"/>
    <x:tableColumn id="10" name="Promo End Date"/>
    <x:tableColumn id="11" name="Months Remaining"/>
    <x:tableColumn id="12" name="Status"/>
    <x:tableColumn id="13" name="Funding Notes"/>
    <x:tableColumn id="14" name="Active?"/>
  </x:tableColumns>
  <x:tableStyleInfo name="TableStyleMedium2" showRowStripes="1"/>
</x:table>
</file>

<file path=xl/tables/table2.xml><?xml version="1.0" encoding="utf-8"?>
<x:table xmlns:x="http://schemas.openxmlformats.org/spreadsheetml/2006/main" id="2" name="FundingTable" displayName="FundingTable" ref="A2:J8">
  <x:tableColumns count="10">
    <x:tableColumn id="1" name="Source ID"/>
    <x:tableColumn id="2" name="Account"/>
    <x:tableColumn id="3" name="Bucket"/>
    <x:tableColumn id="4" name="Type"/>
    <x:tableColumn id="5" name="Current Balance ($)"/>
    <x:tableColumn id="6" name="Protected / Reserved ($)"/>
    <x:tableColumn id="7" name="Available for Bills ($)"/>
    <x:tableColumn id="8" name="Use This Month ($)"/>
    <x:tableColumn id="9" name="After Funding ($)"/>
    <x:tableColumn id="10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97432473b14a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5572b5c81c4dd9" /></Relationships>
</file>

<file path=xl/worksheets/sheet1.xml><?xml version="1.0" encoding="utf-8"?>
<x:worksheet xmlns:x="http://schemas.openxmlformats.org/spreadsheetml/2006/main">
  <x:sheetFormatPr defaultRowHeight="14.25"/>
  <x:cols>
    <x:col min="1" max="1" width="24.375" customWidth="1"/>
    <x:col min="2" max="2" width="49.75" customWidth="1"/>
    <x:col min="3" max="3" width="16" customWidth="1"/>
    <x:col min="4" max="4" width="18" customWidth="1"/>
    <x:col min="5" max="5" width="17" customWidth="1"/>
    <x:col min="6" max="6" width="18" customWidth="1"/>
    <x:col min="7" max="7" width="13" customWidth="1"/>
    <x:col min="8" max="8" width="12" customWidth="1"/>
    <x:col min="9" max="9" width="15" customWidth="1"/>
    <x:col min="10" max="10" width="16" customWidth="1"/>
    <x:col min="11" max="11" width="13" customWidth="1"/>
    <x:col min="12" max="12" width="32" customWidth="1"/>
    <x:col min="13" max="13" width="10" customWidth="1"/>
  </x:cols>
  <x:sheetData>
    <x:row r="1" ht="30" customHeight="1">
      <x:c r="A1" s="12" t="s">
        <x:v>0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</x:row>
    <x:row r="2" ht="30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  <x:c r="I2" s="1" t="s">
        <x:v>9</x:v>
      </x:c>
      <x:c r="J2" s="1" t="s">
        <x:v>10</x:v>
      </x:c>
      <x:c r="K2" s="1" t="s">
        <x:v>11</x:v>
      </x:c>
      <x:c r="L2" s="1" t="s">
        <x:v>12</x:v>
      </x:c>
      <x:c r="M2" s="1" t="s">
        <x:v>13</x:v>
      </x:c>
    </x:row>
    <x:row r="3">
      <x:c r="A3" s="2" t="str">
        <x:f>LOWER(SUBSTITUTE(TRIM(B3)," ","-"))</x:f>
        <x:v>rooms-to-go</x:v>
      </x:c>
      <x:c r="B3" s="2" t="s">
        <x:v>14</x:v>
      </x:c>
      <x:c r="C3" s="2" t="s">
        <x:v>15</x:v>
      </x:c>
      <x:c r="D3" s="3">
        <x:v>3000</x:v>
      </x:c>
      <x:c r="E3" s="3" t="e">
        <x:f>BillsTable[[#This Row],[Current Balance ($)]]/BillsTable[[#This Row],[Months Remaining]]</x:f>
      </x:c>
      <x:c r="F3" s="3">
        <x:v>75</x:v>
      </x:c>
      <x:c r="G3" s="4">
        <x:v>46231</x:v>
      </x:c>
      <x:c r="H3" s="2" t="s">
        <x:v>16</x:v>
      </x:c>
      <x:c r="I3" s="4">
        <x:v>47299</x:v>
      </x:c>
      <x:c r="J3" s="5" t="e">
        <x:f t="shared" ref="J3:J5" si="0">IF(I3="","",MAX(0,DATEDIF(TODAY(),I3,"m")))</x:f>
      </x:c>
      <x:c r="K3" s="2" t="s">
        <x:v>17</x:v>
      </x:c>
      <x:c r="L3" s="2"/>
      <x:c r="M3" s="2" t="s">
        <x:v>16</x:v>
      </x:c>
    </x:row>
    <x:row r="4">
      <x:c r="A4" s="2" t="str">
        <x:f t="shared" ref="A4:A15" si="1">LOWER(SUBSTITUTE(TRIM(B4)," ","-"))</x:f>
        <x:v>care-credit-/-good-feet</x:v>
      </x:c>
      <x:c r="B4" s="2" t="s">
        <x:v>18</x:v>
      </x:c>
      <x:c r="C4" s="2" t="s">
        <x:v>15</x:v>
      </x:c>
      <x:c r="D4" s="3">
        <x:v>783</x:v>
      </x:c>
      <x:c r="E4" s="3" t="n">
        <x:f>BillsTable[[#This Row],[Current Balance ($)]]/BillsTable[[#This Row],[Months Remaining]]</x:f>
        <x:v>261</x:v>
      </x:c>
      <x:c r="F4" s="3">
        <x:v>220</x:v>
      </x:c>
      <x:c r="G4" s="4">
        <x:v>46228</x:v>
      </x:c>
      <x:c r="H4" s="2" t="s">
        <x:v>16</x:v>
      </x:c>
      <x:c r="I4" s="4">
        <x:v>46326</x:v>
      </x:c>
      <x:c r="J4" s="5">
        <x:f t="shared" si="0"/>
        <x:v>3</x:v>
      </x:c>
      <x:c r="K4" s="2" t="s">
        <x:v>17</x:v>
      </x:c>
      <x:c r="L4" s="2" t="s">
        <x:v>19</x:v>
      </x:c>
      <x:c r="M4" s="2" t="s">
        <x:v>16</x:v>
      </x:c>
    </x:row>
    <x:row r="5">
      <x:c r="A5" s="2" t="str">
        <x:f t="shared" si="1"/>
        <x:v>jcpenney</x:v>
      </x:c>
      <x:c r="B5" s="2" t="s">
        <x:v>20</x:v>
      </x:c>
      <x:c r="C5" s="2" t="s">
        <x:v>15</x:v>
      </x:c>
      <x:c r="D5" s="3">
        <x:v>260</x:v>
      </x:c>
      <x:c r="E5" s="3" t="n">
        <x:f>BillsTable[[#This Row],[Current Balance ($)]]/BillsTable[[#This Row],[Months Remaining]]</x:f>
        <x:v>130</x:v>
      </x:c>
      <x:c r="F5" s="3">
        <x:v>260</x:v>
      </x:c>
      <x:c r="G5" s="4">
        <x:v>46227</x:v>
      </x:c>
      <x:c r="H5" s="2" t="s">
        <x:v>16</x:v>
      </x:c>
      <x:c r="I5" s="4">
        <x:v>46295</x:v>
      </x:c>
      <x:c r="J5" s="5">
        <x:f t="shared" si="0"/>
        <x:v>2</x:v>
      </x:c>
      <x:c r="K5" s="2" t="s">
        <x:v>17</x:v>
      </x:c>
      <x:c r="L5" s="2" t="s">
        <x:v>19</x:v>
      </x:c>
      <x:c r="M5" s="2" t="s">
        <x:v>16</x:v>
      </x:c>
    </x:row>
    <x:row r="6">
      <x:c r="A6" s="2" t="str">
        <x:f t="shared" si="1"/>
        <x:v>samsung-phone</x:v>
      </x:c>
      <x:c r="B6" s="2" t="s">
        <x:v>21</x:v>
      </x:c>
      <x:c r="C6" s="2" t="s">
        <x:v>15</x:v>
      </x:c>
      <x:c r="D6" s="3">
        <x:v>431</x:v>
      </x:c>
      <x:c r="E6" s="3" t="n">
        <x:f>BillsTable[[#This Row],[Current Balance ($)]]/BillsTable[[#This Row],[Months Remaining]]</x:f>
        <x:v>21.55</x:v>
      </x:c>
      <x:c r="F6" s="3">
        <x:v>21.55</x:v>
      </x:c>
      <x:c r="G6" s="4">
        <x:v>46233</x:v>
      </x:c>
      <x:c r="H6" s="2" t="s">
        <x:v>16</x:v>
      </x:c>
      <x:c r="I6" s="4">
        <x:v>46752</x:v>
      </x:c>
      <x:c r="J6" s="5">
        <x:v>20</x:v>
      </x:c>
      <x:c r="K6" s="2" t="s">
        <x:v>17</x:v>
      </x:c>
      <x:c r="L6" s="2"/>
      <x:c r="M6" s="2" t="s">
        <x:v>16</x:v>
      </x:c>
    </x:row>
    <x:row r="7">
      <x:c r="A7" s="2" t="str">
        <x:f t="shared" si="1"/>
        <x:v>citi---marco-(double-cash)</x:v>
      </x:c>
      <x:c r="B7" s="2" t="s">
        <x:v>22</x:v>
      </x:c>
      <x:c r="C7" s="2" t="s">
        <x:v>23</x:v>
      </x:c>
      <x:c r="E7" s="3" t="e">
        <x:f>BillsTable[[#This Row],[Current Balance ($)]]/BillsTable[[#This Row],[Months Remaining]]</x:f>
      </x:c>
      <x:c r="F7" s="3">
        <x:v>0</x:v>
      </x:c>
      <x:c r="G7" s="4">
        <x:v>46223</x:v>
      </x:c>
      <x:c r="H7" s="2" t="s">
        <x:v>24</x:v>
      </x:c>
      <x:c r="I7" s="4"/>
      <x:c r="J7" s="5">
        <x:v>1</x:v>
      </x:c>
      <x:c r="K7" s="2" t="s">
        <x:v>17</x:v>
      </x:c>
      <x:c r="L7" s="2" t="s">
        <x:v>25</x:v>
      </x:c>
      <x:c r="M7" s="2" t="s">
        <x:v>16</x:v>
      </x:c>
    </x:row>
    <x:row r="8">
      <x:c r="A8" s="2" t="str">
        <x:f t="shared" si="1"/>
        <x:v>us-bank---glp1</x:v>
      </x:c>
      <x:c r="B8" s="2" t="s">
        <x:v>26</x:v>
      </x:c>
      <x:c r="C8" s="2" t="s">
        <x:v>15</x:v>
      </x:c>
      <x:c r="D8" s="22">
        <x:v>597.98</x:v>
      </x:c>
      <x:c r="E8" s="3" t="n">
        <x:f>BillsTable[[#This Row],[Current Balance ($)]]/BillsTable[[#This Row],[Months Remaining]]</x:f>
        <x:v>597.98</x:v>
      </x:c>
      <x:c r="F8" s="3">
        <x:v>50</x:v>
      </x:c>
      <x:c r="G8" s="4">
        <x:v>46225</x:v>
      </x:c>
      <x:c r="H8" s="2" t="s">
        <x:v>16</x:v>
      </x:c>
      <x:c r="I8" s="4">
        <x:v>46753</x:v>
      </x:c>
      <x:c r="J8" s="5">
        <x:v>1</x:v>
      </x:c>
      <x:c r="K8" s="2" t="s">
        <x:v>17</x:v>
      </x:c>
      <x:c r="L8" s="2" t="s">
        <x:v>25</x:v>
      </x:c>
      <x:c r="M8" s="2" t="s">
        <x:v>16</x:v>
      </x:c>
    </x:row>
    <x:row r="9" ht="15">
      <x:c r="A9" s="2" t="str">
        <x:f t="shared" si="1"/>
        <x:v>gemini-btc-cc</x:v>
      </x:c>
      <x:c r="B9" s="2" t="s">
        <x:v>27</x:v>
      </x:c>
      <x:c r="C9" s="2" t="s">
        <x:v>23</x:v>
      </x:c>
      <x:c r="D9" s="17">
        <x:v>2585.54</x:v>
      </x:c>
      <x:c r="E9" s="3" t="n">
        <x:f>BillsTable[[#This Row],[Current Balance ($)]]/BillsTable[[#This Row],[Months Remaining]]</x:f>
        <x:v>2585.54</x:v>
      </x:c>
      <x:c r="F9" s="3" t="n">
        <x:f>BillsTable[[#This Row],[Minimum Due ($)]]</x:f>
        <x:v>2585.54</x:v>
      </x:c>
      <x:c r="G9" s="4"/>
      <x:c r="H9" s="2" t="s">
        <x:v>24</x:v>
      </x:c>
      <x:c r="I9" s="4"/>
      <x:c r="J9" s="5">
        <x:v>1</x:v>
      </x:c>
      <x:c r="K9" s="2"/>
      <x:c r="L9" s="2"/>
      <x:c r="M9" s="2"/>
    </x:row>
    <x:row r="10" ht="15">
      <x:c r="A10" s="2" t="str">
        <x:f t="shared" si="1"/>
        <x:v>amex---marco</x:v>
      </x:c>
      <x:c r="B10" s="2" t="s">
        <x:v>28</x:v>
      </x:c>
      <x:c r="C10" s="2" t="s">
        <x:v>23</x:v>
      </x:c>
      <x:c r="D10" s="17">
        <x:v>124.3</x:v>
      </x:c>
      <x:c r="E10" s="3" t="n">
        <x:f>BillsTable[[#This Row],[Current Balance ($)]]/BillsTable[[#This Row],[Months Remaining]]</x:f>
        <x:v>124.3</x:v>
      </x:c>
      <x:c r="F10" s="3" t="n">
        <x:f>BillsTable[[#This Row],[Minimum Due ($)]]</x:f>
        <x:v>124.3</x:v>
      </x:c>
      <x:c r="G10" s="4"/>
      <x:c r="H10" s="2" t="s">
        <x:v>24</x:v>
      </x:c>
      <x:c r="I10" s="4"/>
      <x:c r="J10" s="5">
        <x:v>1</x:v>
      </x:c>
      <x:c r="K10" s="2"/>
      <x:c r="L10" s="2"/>
      <x:c r="M10" s="2"/>
    </x:row>
    <x:row r="11" ht="15">
      <x:c r="A11" s="2" t="str">
        <x:f t="shared" si="1"/>
        <x:v>taymis-discover</x:v>
      </x:c>
      <x:c r="B11" s="2" t="s">
        <x:v>29</x:v>
      </x:c>
      <x:c r="C11" s="2" t="s">
        <x:v>23</x:v>
      </x:c>
      <x:c r="D11" s="19">
        <x:v>215.75</x:v>
      </x:c>
      <x:c r="E11" s="3" t="n">
        <x:f>BillsTable[[#This Row],[Current Balance ($)]]/BillsTable[[#This Row],[Months Remaining]]</x:f>
        <x:v>215.75</x:v>
      </x:c>
      <x:c r="F11" s="3" t="n">
        <x:f>BillsTable[[#This Row],[Minimum Due ($)]]</x:f>
        <x:v>215.75</x:v>
      </x:c>
      <x:c r="G11" s="4"/>
      <x:c r="H11" s="2" t="s">
        <x:v>24</x:v>
      </x:c>
      <x:c r="I11" s="4"/>
      <x:c r="J11" s="5">
        <x:v>1</x:v>
      </x:c>
      <x:c r="K11" s="2"/>
      <x:c r="L11" s="2"/>
      <x:c r="M11" s="2"/>
    </x:row>
    <x:row r="12" ht="15">
      <x:c r="A12" s="2" t="str">
        <x:f t="shared" si="1"/>
        <x:v>taymis-us-bank</x:v>
      </x:c>
      <x:c r="B12" s="2" t="s">
        <x:v>30</x:v>
      </x:c>
      <x:c r="C12" s="2" t="s">
        <x:v>15</x:v>
      </x:c>
      <x:c r="D12" s="19">
        <x:v>1702.41</x:v>
      </x:c>
      <x:c r="E12" s="3" t="n">
        <x:f>BillsTable[[#This Row],[Current Balance ($)]]/BillsTable[[#This Row],[Months Remaining]]</x:f>
        <x:v>1702.41</x:v>
      </x:c>
      <x:c r="F12" s="3"/>
      <x:c r="G12" s="4"/>
      <x:c r="H12" s="2" t="s">
        <x:v>16</x:v>
      </x:c>
      <x:c r="I12" s="4">
        <x:v>46753</x:v>
      </x:c>
      <x:c r="J12" s="5">
        <x:v>1</x:v>
      </x:c>
      <x:c r="K12" s="2"/>
      <x:c r="L12" s="2"/>
      <x:c r="M12" s="2"/>
    </x:row>
    <x:row r="13" ht="15">
      <x:c r="A13" s="2" t="str">
        <x:f t="shared" si="1"/>
        <x:v>chase-freedom</x:v>
      </x:c>
      <x:c r="B13" s="2" t="s">
        <x:v>31</x:v>
      </x:c>
      <x:c r="C13" s="2" t="s">
        <x:v>23</x:v>
      </x:c>
      <x:c r="D13" s="18">
        <x:v>1</x:v>
      </x:c>
      <x:c r="E13" s="3" t="n">
        <x:f>BillsTable[[#This Row],[Current Balance ($)]]/BillsTable[[#This Row],[Months Remaining]]</x:f>
        <x:v>1</x:v>
      </x:c>
      <x:c r="F13" s="3"/>
      <x:c r="G13" s="4"/>
      <x:c r="H13" s="2" t="s">
        <x:v>24</x:v>
      </x:c>
      <x:c r="I13" s="4"/>
      <x:c r="J13" s="5">
        <x:v>1</x:v>
      </x:c>
      <x:c r="K13" s="2"/>
      <x:c r="L13" s="2"/>
      <x:c r="M13" s="2"/>
    </x:row>
    <x:row r="14" ht="15">
      <x:c r="A14" s="2" t="str">
        <x:f t="shared" si="1"/>
        <x:v>taymis--amex</x:v>
      </x:c>
      <x:c r="B14" s="2" t="s">
        <x:v>32</x:v>
      </x:c>
      <x:c r="C14" s="2" t="s">
        <x:v>23</x:v>
      </x:c>
      <x:c r="D14" s="19">
        <x:v>231.32</x:v>
      </x:c>
      <x:c r="E14" s="3" t="n">
        <x:f>BillsTable[[#This Row],[Current Balance ($)]]/BillsTable[[#This Row],[Months Remaining]]</x:f>
        <x:v>231.32</x:v>
      </x:c>
      <x:c r="F14" s="3"/>
      <x:c r="G14" s="4"/>
      <x:c r="H14" s="2" t="s">
        <x:v>24</x:v>
      </x:c>
      <x:c r="I14" s="4"/>
      <x:c r="J14" s="5">
        <x:v>1</x:v>
      </x:c>
      <x:c r="K14" s="2"/>
      <x:c r="L14" s="2"/>
      <x:c r="M14" s="2"/>
    </x:row>
    <x:row r="15" ht="15">
      <x:c r="A15" s="2" t="str">
        <x:f t="shared" si="1"/>
        <x:v>best-buy-computer-taymis-mom-june-2025-+-kitchen-app</x:v>
      </x:c>
      <x:c r="B15" s="2" t="s">
        <x:v>33</x:v>
      </x:c>
      <x:c r="C15" s="2" t="s">
        <x:v>15</x:v>
      </x:c>
      <x:c r="D15" s="21">
        <x:v>10308.39</x:v>
      </x:c>
      <x:c r="E15" s="3" t="n">
        <x:f>BillsTable[[#This Row],[Current Balance ($)]]/BillsTable[[#This Row],[Months Remaining]]</x:f>
        <x:v>1288.54875</x:v>
      </x:c>
      <x:c r="F15" s="20">
        <x:v>220</x:v>
      </x:c>
      <x:c r="G15" s="4">
        <x:v>46478</x:v>
      </x:c>
      <x:c r="H15" s="2" t="s">
        <x:v>16</x:v>
      </x:c>
      <x:c r="I15" s="4"/>
      <x:c r="J15" s="5">
        <x:v>8</x:v>
      </x:c>
      <x:c r="K15" s="2"/>
      <x:c r="L15" s="2"/>
      <x:c r="M15" s="2"/>
    </x:row>
    <x:row r="16">
      <x:c r="B16" s="2"/>
      <x:c r="C16" s="2"/>
      <x:c r="D16" s="3"/>
      <x:c r="E16" s="3"/>
      <x:c r="F16" s="3"/>
      <x:c r="G16" s="4"/>
      <x:c r="H16" s="2"/>
      <x:c r="I16" s="4"/>
      <x:c r="J16" s="5">
        <x:v>1</x:v>
      </x:c>
      <x:c r="K16" s="2"/>
      <x:c r="L16" s="2"/>
      <x:c r="M16" s="2"/>
    </x:row>
    <x:row r="17">
      <x:c r="A17" s="2"/>
      <x:c r="B17" s="2"/>
      <x:c r="C17" s="2"/>
      <x:c r="D17" s="3"/>
      <x:c r="E17" s="3"/>
      <x:c r="F17" s="3"/>
      <x:c r="G17" s="4"/>
      <x:c r="H17" s="2"/>
      <x:c r="I17" s="4"/>
      <x:c r="J17" s="5"/>
      <x:c r="K17" s="2"/>
      <x:c r="L17" s="2"/>
      <x:c r="M17" s="2"/>
    </x:row>
    <x:row r="18">
      <x:c r="A18" s="2"/>
      <x:c r="B18" s="2"/>
      <x:c r="C18" s="2"/>
      <x:c r="D18" s="3"/>
      <x:c r="E18" s="3"/>
      <x:c r="F18" s="3"/>
      <x:c r="G18" s="4"/>
      <x:c r="H18" s="2"/>
      <x:c r="I18" s="4"/>
      <x:c r="J18" s="5"/>
      <x:c r="K18" s="2"/>
      <x:c r="L18" s="2"/>
      <x:c r="M18" s="2"/>
    </x:row>
    <x:row r="19">
      <x:c r="A19" s="2"/>
      <x:c r="B19" s="2"/>
      <x:c r="C19" s="2"/>
      <x:c r="D19" s="3"/>
      <x:c r="E19" s="3"/>
      <x:c r="F19" s="3"/>
      <x:c r="G19" s="4"/>
      <x:c r="H19" s="2"/>
      <x:c r="I19" s="4"/>
      <x:c r="J19" s="5"/>
      <x:c r="K19" s="2"/>
      <x:c r="L19" s="2"/>
      <x:c r="M19" s="2"/>
    </x:row>
    <x:row r="20">
      <x:c r="A20" s="2"/>
      <x:c r="B20" s="2"/>
      <x:c r="C20" s="2"/>
      <x:c r="D20" s="3"/>
      <x:c r="E20" s="3"/>
      <x:c r="F20" s="3"/>
      <x:c r="G20" s="4"/>
      <x:c r="H20" s="2"/>
      <x:c r="I20" s="4"/>
      <x:c r="J20" s="5"/>
      <x:c r="K20" s="2"/>
      <x:c r="L20" s="2"/>
      <x:c r="M20" s="2"/>
    </x:row>
    <x:row r="21">
      <x:c r="A21" s="2"/>
      <x:c r="B21" s="2"/>
      <x:c r="C21" s="2"/>
      <x:c r="D21" s="3"/>
      <x:c r="E21" s="3"/>
      <x:c r="F21" s="3"/>
      <x:c r="G21" s="4"/>
      <x:c r="H21" s="2"/>
      <x:c r="I21" s="4"/>
      <x:c r="J21" s="5"/>
      <x:c r="K21" s="2"/>
      <x:c r="L21" s="2"/>
      <x:c r="M21" s="2"/>
    </x:row>
    <x:row r="22">
      <x:c r="A22" s="2"/>
      <x:c r="B22" s="2"/>
      <x:c r="C22" s="2"/>
      <x:c r="D22" s="3"/>
      <x:c r="E22" s="3"/>
      <x:c r="F22" s="3"/>
      <x:c r="G22" s="4"/>
      <x:c r="H22" s="2"/>
      <x:c r="I22" s="4"/>
      <x:c r="J22" s="5"/>
      <x:c r="K22" s="2"/>
      <x:c r="L22" s="2"/>
      <x:c r="M22" s="2"/>
    </x:row>
    <x:row r="23">
      <x:c r="A23" s="2"/>
      <x:c r="B23" s="2"/>
      <x:c r="C23" s="2"/>
      <x:c r="D23" s="3"/>
      <x:c r="E23" s="3"/>
      <x:c r="F23" s="3"/>
      <x:c r="G23" s="4"/>
      <x:c r="H23" s="2"/>
      <x:c r="I23" s="4"/>
      <x:c r="J23" s="5"/>
      <x:c r="K23" s="2"/>
      <x:c r="L23" s="2"/>
      <x:c r="M23" s="2"/>
    </x:row>
    <x:row r="24">
      <x:c r="A24" s="2"/>
      <x:c r="B24" s="2"/>
      <x:c r="C24" s="2"/>
      <x:c r="D24" s="3"/>
      <x:c r="E24" s="3"/>
      <x:c r="F24" s="3"/>
      <x:c r="G24" s="4"/>
      <x:c r="H24" s="2"/>
      <x:c r="I24" s="4"/>
      <x:c r="J24" s="5"/>
      <x:c r="K24" s="2"/>
      <x:c r="L24" s="2"/>
      <x:c r="M24" s="2"/>
    </x:row>
    <x:row r="25">
      <x:c r="A25" s="2"/>
      <x:c r="B25" s="2"/>
      <x:c r="C25" s="2"/>
      <x:c r="D25" s="3"/>
      <x:c r="E25" s="3"/>
      <x:c r="F25" s="3"/>
      <x:c r="G25" s="4"/>
      <x:c r="H25" s="2"/>
      <x:c r="I25" s="4"/>
      <x:c r="J25" s="5"/>
      <x:c r="K25" s="2"/>
      <x:c r="L25" s="2"/>
      <x:c r="M25" s="2"/>
    </x:row>
    <x:row r="26">
      <x:c r="A26" s="2"/>
      <x:c r="B26" s="2"/>
      <x:c r="C26" s="2"/>
      <x:c r="D26" s="3"/>
      <x:c r="E26" s="3"/>
      <x:c r="F26" s="3"/>
      <x:c r="G26" s="4"/>
      <x:c r="H26" s="2"/>
      <x:c r="I26" s="4"/>
      <x:c r="J26" s="5"/>
      <x:c r="K26" s="2"/>
      <x:c r="L26" s="2"/>
      <x:c r="M26" s="2"/>
    </x:row>
    <x:row r="27">
      <x:c r="A27" s="2"/>
      <x:c r="B27" s="2"/>
      <x:c r="C27" s="2"/>
      <x:c r="D27" s="3"/>
      <x:c r="E27" s="3"/>
      <x:c r="F27" s="3"/>
      <x:c r="G27" s="4"/>
      <x:c r="H27" s="2"/>
      <x:c r="I27" s="4"/>
      <x:c r="J27" s="5"/>
      <x:c r="K27" s="2"/>
      <x:c r="L27" s="2"/>
      <x:c r="M27" s="2"/>
    </x:row>
    <x:row r="28">
      <x:c r="A28" s="2"/>
      <x:c r="B28" s="2"/>
      <x:c r="C28" s="2"/>
      <x:c r="D28" s="3"/>
      <x:c r="E28" s="3"/>
      <x:c r="F28" s="3"/>
      <x:c r="G28" s="4"/>
      <x:c r="H28" s="2"/>
      <x:c r="I28" s="4"/>
      <x:c r="J28" s="5"/>
      <x:c r="K28" s="2"/>
      <x:c r="L28" s="2"/>
      <x:c r="M28" s="2"/>
    </x:row>
    <x:row r="29">
      <x:c r="A29" s="2"/>
      <x:c r="B29" s="2"/>
      <x:c r="C29" s="2"/>
      <x:c r="D29" s="3"/>
      <x:c r="E29" s="3"/>
      <x:c r="F29" s="3"/>
      <x:c r="G29" s="4"/>
      <x:c r="H29" s="2"/>
      <x:c r="I29" s="4"/>
      <x:c r="J29" s="5"/>
      <x:c r="K29" s="2"/>
      <x:c r="L29" s="2"/>
      <x:c r="M29" s="2"/>
    </x:row>
    <x:row r="30">
      <x:c r="A30" s="2"/>
      <x:c r="B30" s="2"/>
      <x:c r="C30" s="2"/>
      <x:c r="D30" s="3"/>
      <x:c r="E30" s="3"/>
      <x:c r="F30" s="3"/>
      <x:c r="G30" s="4"/>
      <x:c r="H30" s="2"/>
      <x:c r="I30" s="4"/>
      <x:c r="J30" s="5"/>
      <x:c r="K30" s="2"/>
      <x:c r="L30" s="2"/>
      <x:c r="M30" s="2"/>
    </x:row>
    <x:row r="31">
      <x:c r="A31" s="2"/>
      <x:c r="B31" s="2"/>
      <x:c r="C31" s="2"/>
      <x:c r="D31" s="3"/>
      <x:c r="E31" s="3"/>
      <x:c r="F31" s="3"/>
      <x:c r="G31" s="4"/>
      <x:c r="H31" s="2"/>
      <x:c r="I31" s="4"/>
      <x:c r="J31" s="5"/>
      <x:c r="K31" s="2"/>
      <x:c r="L31" s="2"/>
      <x:c r="M31" s="2"/>
    </x:row>
    <x:row r="32">
      <x:c r="A32" s="2"/>
      <x:c r="B32" s="2"/>
      <x:c r="C32" s="2"/>
      <x:c r="D32" s="3"/>
      <x:c r="E32" s="3"/>
      <x:c r="F32" s="3"/>
      <x:c r="G32" s="4"/>
      <x:c r="H32" s="2"/>
      <x:c r="I32" s="4"/>
      <x:c r="J32" s="5"/>
      <x:c r="K32" s="2"/>
      <x:c r="L32" s="2"/>
      <x:c r="M32" s="2"/>
    </x:row>
    <x:row r="33">
      <x:c r="A33" s="2"/>
      <x:c r="B33" s="2"/>
      <x:c r="C33" s="2"/>
      <x:c r="D33" s="3"/>
      <x:c r="E33" s="3"/>
      <x:c r="F33" s="3"/>
      <x:c r="G33" s="4"/>
      <x:c r="H33" s="2"/>
      <x:c r="I33" s="4"/>
      <x:c r="J33" s="5"/>
      <x:c r="K33" s="2"/>
      <x:c r="L33" s="2"/>
      <x:c r="M33" s="2"/>
    </x:row>
    <x:row r="34">
      <x:c r="A34" s="2"/>
      <x:c r="B34" s="2"/>
      <x:c r="C34" s="2"/>
      <x:c r="D34" s="3"/>
      <x:c r="E34" s="3"/>
      <x:c r="F34" s="3"/>
      <x:c r="G34" s="4"/>
      <x:c r="H34" s="2"/>
      <x:c r="I34" s="4"/>
      <x:c r="J34" s="5"/>
      <x:c r="K34" s="2"/>
      <x:c r="L34" s="2"/>
      <x:c r="M34" s="2"/>
    </x:row>
    <x:row r="35">
      <x:c r="A35" s="2"/>
      <x:c r="B35" s="2"/>
      <x:c r="C35" s="2"/>
      <x:c r="D35" s="3"/>
      <x:c r="E35" s="3"/>
      <x:c r="F35" s="3"/>
      <x:c r="G35" s="4"/>
      <x:c r="H35" s="2"/>
      <x:c r="I35" s="4"/>
      <x:c r="J35" s="5"/>
      <x:c r="K35" s="2"/>
      <x:c r="L35" s="2"/>
      <x:c r="M35" s="2"/>
    </x:row>
    <x:row r="36">
      <x:c r="A36" s="2"/>
      <x:c r="B36" s="2"/>
      <x:c r="C36" s="2"/>
      <x:c r="D36" s="3"/>
      <x:c r="E36" s="3"/>
      <x:c r="F36" s="3"/>
      <x:c r="G36" s="4"/>
      <x:c r="H36" s="2"/>
      <x:c r="I36" s="4"/>
      <x:c r="J36" s="5"/>
      <x:c r="K36" s="2"/>
      <x:c r="L36" s="2"/>
      <x:c r="M36" s="2"/>
    </x:row>
    <x:row r="37">
      <x:c r="A37" s="2"/>
      <x:c r="B37" s="2"/>
      <x:c r="C37" s="2"/>
      <x:c r="D37" s="3"/>
      <x:c r="E37" s="3"/>
      <x:c r="F37" s="3"/>
      <x:c r="G37" s="4"/>
      <x:c r="H37" s="2"/>
      <x:c r="I37" s="4"/>
      <x:c r="J37" s="5"/>
      <x:c r="K37" s="2"/>
      <x:c r="L37" s="2"/>
      <x:c r="M37" s="2"/>
    </x:row>
    <x:row r="38">
      <x:c r="A38" s="2"/>
      <x:c r="B38" s="2"/>
      <x:c r="C38" s="2"/>
      <x:c r="D38" s="3"/>
      <x:c r="E38" s="3"/>
      <x:c r="F38" s="3"/>
      <x:c r="G38" s="4"/>
      <x:c r="H38" s="2"/>
      <x:c r="I38" s="4"/>
      <x:c r="J38" s="5"/>
      <x:c r="K38" s="2"/>
      <x:c r="L38" s="2"/>
      <x:c r="M38" s="2"/>
    </x:row>
    <x:row r="39">
      <x:c r="A39" s="2"/>
      <x:c r="B39" s="2"/>
      <x:c r="C39" s="2"/>
      <x:c r="D39" s="3"/>
      <x:c r="E39" s="3"/>
      <x:c r="F39" s="3"/>
      <x:c r="G39" s="4"/>
      <x:c r="H39" s="2"/>
      <x:c r="I39" s="4"/>
      <x:c r="J39" s="5"/>
      <x:c r="K39" s="2"/>
      <x:c r="L39" s="2"/>
      <x:c r="M39" s="2"/>
    </x:row>
    <x:row r="40">
      <x:c r="A40" s="2"/>
      <x:c r="B40" s="2"/>
      <x:c r="C40" s="2"/>
      <x:c r="D40" s="3"/>
      <x:c r="E40" s="3"/>
      <x:c r="F40" s="3"/>
      <x:c r="G40" s="4"/>
      <x:c r="H40" s="2"/>
      <x:c r="I40" s="4"/>
      <x:c r="J40" s="5"/>
      <x:c r="K40" s="2"/>
      <x:c r="L40" s="2"/>
      <x:c r="M40" s="2"/>
    </x:row>
    <x:row r="41">
      <x:c r="A41" s="2"/>
      <x:c r="B41" s="2"/>
      <x:c r="C41" s="2"/>
      <x:c r="D41" s="3"/>
      <x:c r="E41" s="3"/>
      <x:c r="F41" s="3"/>
      <x:c r="G41" s="4"/>
      <x:c r="H41" s="2"/>
      <x:c r="I41" s="4"/>
      <x:c r="J41" s="5"/>
      <x:c r="K41" s="2"/>
      <x:c r="L41" s="2"/>
      <x:c r="M41" s="2"/>
    </x:row>
    <x:row r="42">
      <x:c r="A42" s="2"/>
      <x:c r="B42" s="2"/>
      <x:c r="C42" s="2"/>
      <x:c r="D42" s="3"/>
      <x:c r="E42" s="3"/>
      <x:c r="F42" s="3"/>
      <x:c r="G42" s="4"/>
      <x:c r="H42" s="2"/>
      <x:c r="I42" s="4"/>
      <x:c r="J42" s="5"/>
      <x:c r="K42" s="2"/>
      <x:c r="L42" s="2"/>
      <x:c r="M42" s="2"/>
    </x:row>
    <x:row r="43">
      <x:c r="A43" s="2"/>
      <x:c r="B43" s="2"/>
      <x:c r="C43" s="2"/>
      <x:c r="D43" s="3"/>
      <x:c r="E43" s="3"/>
      <x:c r="F43" s="3"/>
      <x:c r="G43" s="4"/>
      <x:c r="H43" s="2"/>
      <x:c r="I43" s="4"/>
      <x:c r="J43" s="5"/>
      <x:c r="K43" s="2"/>
      <x:c r="L43" s="2"/>
      <x:c r="M43" s="2"/>
    </x:row>
    <x:row r="44">
      <x:c r="A44" s="2"/>
      <x:c r="B44" s="2"/>
      <x:c r="C44" s="2"/>
      <x:c r="D44" s="3"/>
      <x:c r="E44" s="3"/>
      <x:c r="F44" s="3"/>
      <x:c r="G44" s="4"/>
      <x:c r="H44" s="2"/>
      <x:c r="I44" s="4"/>
      <x:c r="J44" s="5"/>
      <x:c r="K44" s="2"/>
      <x:c r="L44" s="2"/>
      <x:c r="M44" s="2"/>
    </x:row>
    <x:row r="45">
      <x:c r="A45" s="2"/>
      <x:c r="B45" s="2"/>
      <x:c r="C45" s="2"/>
      <x:c r="D45" s="3"/>
      <x:c r="E45" s="3"/>
      <x:c r="F45" s="3"/>
      <x:c r="G45" s="4"/>
      <x:c r="H45" s="2"/>
      <x:c r="I45" s="4"/>
      <x:c r="J45" s="5"/>
      <x:c r="K45" s="2"/>
      <x:c r="L45" s="2"/>
      <x:c r="M45" s="2"/>
    </x:row>
    <x:row r="46">
      <x:c r="A46" s="2"/>
      <x:c r="B46" s="2"/>
      <x:c r="C46" s="2"/>
      <x:c r="D46" s="3"/>
      <x:c r="E46" s="3"/>
      <x:c r="F46" s="3"/>
      <x:c r="G46" s="4"/>
      <x:c r="H46" s="2"/>
      <x:c r="I46" s="4"/>
      <x:c r="J46" s="5"/>
      <x:c r="K46" s="2"/>
      <x:c r="L46" s="2"/>
      <x:c r="M46" s="2"/>
    </x:row>
    <x:row r="47">
      <x:c r="A47" s="2"/>
      <x:c r="B47" s="2"/>
      <x:c r="C47" s="2"/>
      <x:c r="D47" s="3"/>
      <x:c r="E47" s="3"/>
      <x:c r="F47" s="3"/>
      <x:c r="G47" s="4"/>
      <x:c r="H47" s="2"/>
      <x:c r="I47" s="4"/>
      <x:c r="J47" s="5"/>
      <x:c r="K47" s="2"/>
      <x:c r="L47" s="2"/>
      <x:c r="M47" s="2"/>
    </x:row>
    <x:row r="48">
      <x:c r="A48" s="2"/>
      <x:c r="B48" s="2"/>
      <x:c r="C48" s="2"/>
      <x:c r="D48" s="3"/>
      <x:c r="E48" s="3"/>
      <x:c r="F48" s="3"/>
      <x:c r="G48" s="4"/>
      <x:c r="H48" s="2"/>
      <x:c r="I48" s="4"/>
      <x:c r="J48" s="5"/>
      <x:c r="K48" s="2"/>
      <x:c r="L48" s="2"/>
      <x:c r="M48" s="2"/>
    </x:row>
    <x:row r="49">
      <x:c r="A49" s="2"/>
      <x:c r="B49" s="2"/>
      <x:c r="C49" s="2"/>
      <x:c r="D49" s="3"/>
      <x:c r="E49" s="3"/>
      <x:c r="F49" s="3"/>
      <x:c r="G49" s="4"/>
      <x:c r="H49" s="2"/>
      <x:c r="I49" s="4"/>
      <x:c r="J49" s="5"/>
      <x:c r="K49" s="2"/>
      <x:c r="L49" s="2"/>
      <x:c r="M49" s="2"/>
    </x:row>
    <x:row r="50">
      <x:c r="A50" s="2"/>
      <x:c r="B50" s="2"/>
      <x:c r="C50" s="2"/>
      <x:c r="D50" s="3"/>
      <x:c r="E50" s="3"/>
      <x:c r="F50" s="3"/>
      <x:c r="G50" s="4"/>
      <x:c r="H50" s="2"/>
      <x:c r="I50" s="4"/>
      <x:c r="J50" s="5"/>
      <x:c r="K50" s="2"/>
      <x:c r="L50" s="2"/>
      <x:c r="M50" s="2"/>
    </x:row>
    <x:row r="51">
      <x:c r="A51" s="2"/>
      <x:c r="B51" s="2"/>
      <x:c r="C51" s="2"/>
      <x:c r="D51" s="3"/>
      <x:c r="E51" s="3"/>
      <x:c r="F51" s="3"/>
      <x:c r="G51" s="4"/>
      <x:c r="H51" s="2"/>
      <x:c r="I51" s="4"/>
      <x:c r="J51" s="5"/>
      <x:c r="K51" s="2"/>
      <x:c r="L51" s="2"/>
      <x:c r="M51" s="2"/>
    </x:row>
    <x:row r="52">
      <x:c r="A52" s="2"/>
      <x:c r="B52" s="2"/>
      <x:c r="C52" s="2"/>
      <x:c r="D52" s="3"/>
      <x:c r="E52" s="3"/>
      <x:c r="F52" s="3"/>
      <x:c r="G52" s="4"/>
      <x:c r="H52" s="2"/>
      <x:c r="I52" s="4"/>
      <x:c r="J52" s="5"/>
      <x:c r="K52" s="2"/>
      <x:c r="L52" s="2"/>
      <x:c r="M52" s="2"/>
    </x:row>
    <x:row r="53">
      <x:c r="A53" s="2"/>
      <x:c r="B53" s="2"/>
      <x:c r="C53" s="2"/>
      <x:c r="D53" s="3"/>
      <x:c r="E53" s="3"/>
      <x:c r="F53" s="3"/>
      <x:c r="G53" s="4"/>
      <x:c r="H53" s="2"/>
      <x:c r="I53" s="4"/>
      <x:c r="J53" s="5"/>
      <x:c r="K53" s="2"/>
      <x:c r="L53" s="2"/>
      <x:c r="M53" s="2"/>
    </x:row>
    <x:row r="54">
      <x:c r="A54" s="2"/>
      <x:c r="B54" s="2"/>
      <x:c r="C54" s="2"/>
      <x:c r="D54" s="3"/>
      <x:c r="E54" s="3"/>
      <x:c r="F54" s="3"/>
      <x:c r="G54" s="4"/>
      <x:c r="H54" s="2"/>
      <x:c r="I54" s="4"/>
      <x:c r="J54" s="5"/>
      <x:c r="K54" s="2"/>
      <x:c r="L54" s="2"/>
      <x:c r="M54" s="2"/>
    </x:row>
    <x:row r="55">
      <x:c r="A55" s="2"/>
      <x:c r="B55" s="2"/>
      <x:c r="C55" s="2"/>
      <x:c r="D55" s="3"/>
      <x:c r="E55" s="3"/>
      <x:c r="F55" s="3"/>
      <x:c r="G55" s="4"/>
      <x:c r="H55" s="2"/>
      <x:c r="I55" s="4"/>
      <x:c r="J55" s="5"/>
      <x:c r="K55" s="2"/>
      <x:c r="L55" s="2"/>
      <x:c r="M55" s="2"/>
    </x:row>
    <x:row r="56">
      <x:c r="A56" s="2"/>
      <x:c r="B56" s="2"/>
      <x:c r="C56" s="2"/>
      <x:c r="D56" s="3"/>
      <x:c r="E56" s="3"/>
      <x:c r="F56" s="3"/>
      <x:c r="G56" s="4"/>
      <x:c r="H56" s="2"/>
      <x:c r="I56" s="4"/>
      <x:c r="J56" s="5"/>
      <x:c r="K56" s="2"/>
      <x:c r="L56" s="2"/>
      <x:c r="M56" s="2"/>
    </x:row>
    <x:row r="57">
      <x:c r="A57" s="2"/>
      <x:c r="B57" s="2"/>
      <x:c r="C57" s="2"/>
      <x:c r="D57" s="3"/>
      <x:c r="E57" s="3"/>
      <x:c r="F57" s="3"/>
      <x:c r="G57" s="4"/>
      <x:c r="H57" s="2"/>
      <x:c r="I57" s="4"/>
      <x:c r="J57" s="5"/>
      <x:c r="K57" s="2"/>
      <x:c r="L57" s="2"/>
      <x:c r="M57" s="2"/>
    </x:row>
    <x:row r="58">
      <x:c r="A58" s="2"/>
      <x:c r="B58" s="2"/>
      <x:c r="C58" s="2"/>
      <x:c r="D58" s="3"/>
      <x:c r="E58" s="3"/>
      <x:c r="F58" s="3"/>
      <x:c r="G58" s="4"/>
      <x:c r="H58" s="2"/>
      <x:c r="I58" s="4"/>
      <x:c r="J58" s="5"/>
      <x:c r="K58" s="2"/>
      <x:c r="L58" s="2"/>
      <x:c r="M58" s="2"/>
    </x:row>
    <x:row r="59">
      <x:c r="A59" s="2"/>
      <x:c r="B59" s="2"/>
      <x:c r="C59" s="2"/>
      <x:c r="D59" s="3"/>
      <x:c r="E59" s="3"/>
      <x:c r="F59" s="3"/>
      <x:c r="G59" s="4"/>
      <x:c r="H59" s="2"/>
      <x:c r="I59" s="4"/>
      <x:c r="J59" s="5"/>
      <x:c r="K59" s="2"/>
      <x:c r="L59" s="2"/>
      <x:c r="M59" s="2"/>
    </x:row>
    <x:row r="60">
      <x:c r="A60" s="2"/>
      <x:c r="B60" s="2"/>
      <x:c r="C60" s="2"/>
      <x:c r="D60" s="3"/>
      <x:c r="E60" s="3"/>
      <x:c r="F60" s="3"/>
      <x:c r="G60" s="4"/>
      <x:c r="H60" s="2"/>
      <x:c r="I60" s="4"/>
      <x:c r="J60" s="5"/>
      <x:c r="K60" s="2"/>
      <x:c r="L60" s="2"/>
      <x:c r="M60" s="2"/>
    </x:row>
    <x:row r="61">
      <x:c r="A61" s="2"/>
      <x:c r="B61" s="2"/>
      <x:c r="C61" s="2"/>
      <x:c r="D61" s="3"/>
      <x:c r="E61" s="3"/>
      <x:c r="F61" s="3"/>
      <x:c r="G61" s="4"/>
      <x:c r="H61" s="2"/>
      <x:c r="I61" s="4"/>
      <x:c r="J61" s="5"/>
      <x:c r="K61" s="2"/>
      <x:c r="L61" s="2"/>
      <x:c r="M61" s="2"/>
    </x:row>
    <x:row r="62">
      <x:c r="A62" s="2"/>
      <x:c r="B62" s="2"/>
      <x:c r="C62" s="2"/>
      <x:c r="D62" s="3"/>
      <x:c r="E62" s="3"/>
      <x:c r="F62" s="3"/>
      <x:c r="G62" s="4"/>
      <x:c r="H62" s="2"/>
      <x:c r="I62" s="4"/>
      <x:c r="J62" s="5"/>
      <x:c r="K62" s="2"/>
      <x:c r="L62" s="2"/>
      <x:c r="M62" s="2"/>
    </x:row>
    <x:row r="63">
      <x:c r="A63" s="2"/>
      <x:c r="B63" s="2"/>
      <x:c r="C63" s="2"/>
      <x:c r="D63" s="3"/>
      <x:c r="E63" s="3"/>
      <x:c r="F63" s="3"/>
      <x:c r="G63" s="4"/>
      <x:c r="H63" s="2"/>
      <x:c r="I63" s="4"/>
      <x:c r="J63" s="5"/>
      <x:c r="K63" s="2"/>
      <x:c r="L63" s="2"/>
      <x:c r="M63" s="2"/>
    </x:row>
    <x:row r="64">
      <x:c r="A64" s="2"/>
      <x:c r="B64" s="2"/>
      <x:c r="C64" s="2"/>
      <x:c r="D64" s="3"/>
      <x:c r="E64" s="3"/>
      <x:c r="F64" s="3"/>
      <x:c r="G64" s="4"/>
      <x:c r="H64" s="2"/>
      <x:c r="I64" s="4"/>
      <x:c r="J64" s="5"/>
      <x:c r="K64" s="2"/>
      <x:c r="L64" s="2"/>
      <x:c r="M64" s="2"/>
    </x:row>
    <x:row r="65">
      <x:c r="A65" s="2"/>
      <x:c r="B65" s="2"/>
      <x:c r="C65" s="2"/>
      <x:c r="D65" s="3"/>
      <x:c r="E65" s="3"/>
      <x:c r="F65" s="3"/>
      <x:c r="G65" s="4"/>
      <x:c r="H65" s="2"/>
      <x:c r="I65" s="4"/>
      <x:c r="J65" s="5"/>
      <x:c r="K65" s="2"/>
      <x:c r="L65" s="2"/>
      <x:c r="M65" s="2"/>
    </x:row>
    <x:row r="66">
      <x:c r="A66" s="2"/>
      <x:c r="B66" s="2"/>
      <x:c r="C66" s="2"/>
      <x:c r="D66" s="3"/>
      <x:c r="E66" s="3"/>
      <x:c r="F66" s="3"/>
      <x:c r="G66" s="4"/>
      <x:c r="H66" s="2"/>
      <x:c r="I66" s="4"/>
      <x:c r="J66" s="5"/>
      <x:c r="K66" s="2"/>
      <x:c r="L66" s="2"/>
      <x:c r="M66" s="2"/>
    </x:row>
    <x:row r="67">
      <x:c r="A67" s="2"/>
      <x:c r="B67" s="2"/>
      <x:c r="C67" s="2"/>
      <x:c r="D67" s="3"/>
      <x:c r="E67" s="3"/>
      <x:c r="F67" s="3"/>
      <x:c r="G67" s="4"/>
      <x:c r="H67" s="2"/>
      <x:c r="I67" s="4"/>
      <x:c r="J67" s="5"/>
      <x:c r="K67" s="2"/>
      <x:c r="L67" s="2"/>
      <x:c r="M67" s="2"/>
    </x:row>
    <x:row r="68">
      <x:c r="A68" s="2"/>
      <x:c r="B68" s="2"/>
      <x:c r="C68" s="2"/>
      <x:c r="D68" s="3"/>
      <x:c r="E68" s="3"/>
      <x:c r="F68" s="3"/>
      <x:c r="G68" s="4"/>
      <x:c r="H68" s="2"/>
      <x:c r="I68" s="4"/>
      <x:c r="J68" s="5"/>
      <x:c r="K68" s="2"/>
      <x:c r="L68" s="2"/>
      <x:c r="M68" s="2"/>
    </x:row>
    <x:row r="69">
      <x:c r="A69" s="2"/>
      <x:c r="B69" s="2"/>
      <x:c r="C69" s="2"/>
      <x:c r="D69" s="3"/>
      <x:c r="E69" s="3"/>
      <x:c r="F69" s="3"/>
      <x:c r="G69" s="4"/>
      <x:c r="H69" s="2"/>
      <x:c r="I69" s="4"/>
      <x:c r="J69" s="5"/>
      <x:c r="K69" s="2"/>
      <x:c r="L69" s="2"/>
      <x:c r="M69" s="2"/>
    </x:row>
    <x:row r="70">
      <x:c r="A70" s="2"/>
      <x:c r="B70" s="2"/>
      <x:c r="C70" s="2"/>
      <x:c r="D70" s="3"/>
      <x:c r="E70" s="3"/>
      <x:c r="F70" s="3"/>
      <x:c r="G70" s="4"/>
      <x:c r="H70" s="2"/>
      <x:c r="I70" s="4"/>
      <x:c r="J70" s="5"/>
      <x:c r="K70" s="2"/>
      <x:c r="L70" s="2"/>
      <x:c r="M70" s="2"/>
    </x:row>
    <x:row r="71">
      <x:c r="A71" s="2"/>
      <x:c r="B71" s="2"/>
      <x:c r="C71" s="2"/>
      <x:c r="D71" s="3"/>
      <x:c r="E71" s="3"/>
      <x:c r="F71" s="3"/>
      <x:c r="G71" s="4"/>
      <x:c r="H71" s="2"/>
      <x:c r="I71" s="4"/>
      <x:c r="J71" s="5"/>
      <x:c r="K71" s="2"/>
      <x:c r="L71" s="2"/>
      <x:c r="M71" s="2"/>
    </x:row>
    <x:row r="72">
      <x:c r="A72" s="2"/>
      <x:c r="B72" s="2"/>
      <x:c r="C72" s="2"/>
      <x:c r="D72" s="3"/>
      <x:c r="E72" s="3"/>
      <x:c r="F72" s="3"/>
      <x:c r="G72" s="4"/>
      <x:c r="H72" s="2"/>
      <x:c r="I72" s="4"/>
      <x:c r="J72" s="5"/>
      <x:c r="K72" s="2"/>
      <x:c r="L72" s="2"/>
      <x:c r="M72" s="2"/>
    </x:row>
    <x:row r="73">
      <x:c r="A73" s="2"/>
      <x:c r="B73" s="2"/>
      <x:c r="C73" s="2"/>
      <x:c r="D73" s="3"/>
      <x:c r="E73" s="3"/>
      <x:c r="F73" s="3"/>
      <x:c r="G73" s="4"/>
      <x:c r="H73" s="2"/>
      <x:c r="I73" s="4"/>
      <x:c r="J73" s="5"/>
      <x:c r="K73" s="2"/>
      <x:c r="L73" s="2"/>
      <x:c r="M73" s="2"/>
    </x:row>
    <x:row r="74">
      <x:c r="A74" s="2"/>
      <x:c r="B74" s="2"/>
      <x:c r="C74" s="2"/>
      <x:c r="D74" s="3"/>
      <x:c r="E74" s="3"/>
      <x:c r="F74" s="3"/>
      <x:c r="G74" s="4"/>
      <x:c r="H74" s="2"/>
      <x:c r="I74" s="4"/>
      <x:c r="J74" s="5"/>
      <x:c r="K74" s="2"/>
      <x:c r="L74" s="2"/>
      <x:c r="M74" s="2"/>
    </x:row>
    <x:row r="75">
      <x:c r="A75" s="2"/>
      <x:c r="B75" s="2"/>
      <x:c r="C75" s="2"/>
      <x:c r="D75" s="3"/>
      <x:c r="E75" s="3"/>
      <x:c r="F75" s="3"/>
      <x:c r="G75" s="4"/>
      <x:c r="H75" s="2"/>
      <x:c r="I75" s="4"/>
      <x:c r="J75" s="5"/>
      <x:c r="K75" s="2"/>
      <x:c r="L75" s="2"/>
      <x:c r="M75" s="2"/>
    </x:row>
    <x:row r="76">
      <x:c r="A76" s="2"/>
      <x:c r="B76" s="2"/>
      <x:c r="C76" s="2"/>
      <x:c r="D76" s="3"/>
      <x:c r="E76" s="3"/>
      <x:c r="F76" s="3"/>
      <x:c r="G76" s="4"/>
      <x:c r="H76" s="2"/>
      <x:c r="I76" s="4"/>
      <x:c r="J76" s="5"/>
      <x:c r="K76" s="2"/>
      <x:c r="L76" s="2"/>
      <x:c r="M76" s="2"/>
    </x:row>
    <x:row r="77">
      <x:c r="A77" s="2"/>
      <x:c r="B77" s="2"/>
      <x:c r="C77" s="2"/>
      <x:c r="D77" s="3"/>
      <x:c r="E77" s="3"/>
      <x:c r="F77" s="3"/>
      <x:c r="G77" s="4"/>
      <x:c r="H77" s="2"/>
      <x:c r="I77" s="4"/>
      <x:c r="J77" s="5"/>
      <x:c r="K77" s="2"/>
      <x:c r="L77" s="2"/>
      <x:c r="M77" s="2"/>
    </x:row>
    <x:row r="78">
      <x:c r="A78" s="2"/>
      <x:c r="B78" s="2"/>
      <x:c r="C78" s="2"/>
      <x:c r="D78" s="3"/>
      <x:c r="E78" s="3"/>
      <x:c r="F78" s="3"/>
      <x:c r="G78" s="4"/>
      <x:c r="H78" s="2"/>
      <x:c r="I78" s="4"/>
      <x:c r="J78" s="5"/>
      <x:c r="K78" s="2"/>
      <x:c r="L78" s="2"/>
      <x:c r="M78" s="2"/>
    </x:row>
    <x:row r="79">
      <x:c r="A79" s="2"/>
      <x:c r="B79" s="2"/>
      <x:c r="C79" s="2"/>
      <x:c r="D79" s="3"/>
      <x:c r="E79" s="3"/>
      <x:c r="F79" s="3"/>
      <x:c r="G79" s="4"/>
      <x:c r="H79" s="2"/>
      <x:c r="I79" s="4"/>
      <x:c r="J79" s="5"/>
      <x:c r="K79" s="2"/>
      <x:c r="L79" s="2"/>
      <x:c r="M79" s="2"/>
    </x:row>
    <x:row r="80">
      <x:c r="A80" s="2"/>
      <x:c r="B80" s="2"/>
      <x:c r="C80" s="2"/>
      <x:c r="D80" s="3"/>
      <x:c r="E80" s="3"/>
      <x:c r="F80" s="3"/>
      <x:c r="G80" s="4"/>
      <x:c r="H80" s="2"/>
      <x:c r="I80" s="4"/>
      <x:c r="J80" s="5"/>
      <x:c r="K80" s="2"/>
      <x:c r="L80" s="2"/>
      <x:c r="M80" s="2"/>
    </x:row>
    <x:row r="81">
      <x:c r="A81" s="2"/>
      <x:c r="B81" s="2"/>
      <x:c r="C81" s="2"/>
      <x:c r="D81" s="3"/>
      <x:c r="E81" s="3"/>
      <x:c r="F81" s="3"/>
      <x:c r="G81" s="4"/>
      <x:c r="H81" s="2"/>
      <x:c r="I81" s="4"/>
      <x:c r="J81" s="5"/>
      <x:c r="K81" s="2"/>
      <x:c r="L81" s="2"/>
      <x:c r="M81" s="2"/>
    </x:row>
    <x:row r="82">
      <x:c r="A82" s="2"/>
      <x:c r="B82" s="2"/>
      <x:c r="C82" s="2"/>
      <x:c r="D82" s="3"/>
      <x:c r="E82" s="3"/>
      <x:c r="F82" s="3"/>
      <x:c r="G82" s="4"/>
      <x:c r="H82" s="2"/>
      <x:c r="I82" s="4"/>
      <x:c r="J82" s="5"/>
      <x:c r="K82" s="2"/>
      <x:c r="L82" s="2"/>
      <x:c r="M82" s="2"/>
    </x:row>
    <x:row r="83">
      <x:c r="A83" s="2"/>
      <x:c r="B83" s="2"/>
      <x:c r="C83" s="2"/>
      <x:c r="D83" s="3"/>
      <x:c r="E83" s="3"/>
      <x:c r="F83" s="3"/>
      <x:c r="G83" s="4"/>
      <x:c r="H83" s="2"/>
      <x:c r="I83" s="4"/>
      <x:c r="J83" s="5"/>
      <x:c r="K83" s="2"/>
      <x:c r="L83" s="2"/>
      <x:c r="M83" s="2"/>
    </x:row>
    <x:row r="84">
      <x:c r="A84" s="2"/>
      <x:c r="B84" s="2"/>
      <x:c r="C84" s="2"/>
      <x:c r="D84" s="3"/>
      <x:c r="E84" s="3"/>
      <x:c r="F84" s="3"/>
      <x:c r="G84" s="4"/>
      <x:c r="H84" s="2"/>
      <x:c r="I84" s="4"/>
      <x:c r="J84" s="5"/>
      <x:c r="K84" s="2"/>
      <x:c r="L84" s="2"/>
      <x:c r="M84" s="2"/>
    </x:row>
    <x:row r="85">
      <x:c r="A85" s="2"/>
      <x:c r="B85" s="2"/>
      <x:c r="C85" s="2"/>
      <x:c r="D85" s="3"/>
      <x:c r="E85" s="3"/>
      <x:c r="F85" s="3"/>
      <x:c r="G85" s="4"/>
      <x:c r="H85" s="2"/>
      <x:c r="I85" s="4"/>
      <x:c r="J85" s="5"/>
      <x:c r="K85" s="2"/>
      <x:c r="L85" s="2"/>
      <x:c r="M85" s="2"/>
    </x:row>
    <x:row r="86">
      <x:c r="A86" s="2"/>
      <x:c r="B86" s="2"/>
      <x:c r="C86" s="2"/>
      <x:c r="D86" s="3"/>
      <x:c r="E86" s="3"/>
      <x:c r="F86" s="3"/>
      <x:c r="G86" s="4"/>
      <x:c r="H86" s="2"/>
      <x:c r="I86" s="4"/>
      <x:c r="J86" s="5"/>
      <x:c r="K86" s="2"/>
      <x:c r="L86" s="2"/>
      <x:c r="M86" s="2"/>
    </x:row>
    <x:row r="87">
      <x:c r="A87" s="2"/>
      <x:c r="B87" s="2"/>
      <x:c r="C87" s="2"/>
      <x:c r="D87" s="3"/>
      <x:c r="E87" s="3"/>
      <x:c r="F87" s="3"/>
      <x:c r="G87" s="4"/>
      <x:c r="H87" s="2"/>
      <x:c r="I87" s="4"/>
      <x:c r="J87" s="5"/>
      <x:c r="K87" s="2"/>
      <x:c r="L87" s="2"/>
      <x:c r="M87" s="2"/>
    </x:row>
    <x:row r="88">
      <x:c r="A88" s="2"/>
      <x:c r="B88" s="2"/>
      <x:c r="C88" s="2"/>
      <x:c r="D88" s="3"/>
      <x:c r="E88" s="3"/>
      <x:c r="F88" s="3"/>
      <x:c r="G88" s="4"/>
      <x:c r="H88" s="2"/>
      <x:c r="I88" s="4"/>
      <x:c r="J88" s="5"/>
      <x:c r="K88" s="2"/>
      <x:c r="L88" s="2"/>
      <x:c r="M88" s="2"/>
    </x:row>
  </x:sheetData>
  <x:mergeCells>
    <x:mergeCell ref="A1:M1"/>
  </x:mergeCells>
  <x:conditionalFormatting sqref="J3:J88">
    <x:cfRule type="cellIs" dxfId="3" priority="1" operator="lessThanOrEqual">
      <x:formula>3</x:formula>
    </x:cfRule>
  </x:conditionalFormatting>
  <x:dataValidations count="2">
    <x:dataValidation type="list" sqref="M3:M88 H3:H88">
      <x:formula1>"Yes,No"</x:formula1>
    </x:dataValidation>
    <x:dataValidation type="list" sqref="K3:K88">
      <x:formula1>"Planned,Paid,Skipped"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97432473b14a20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22" customWidth="1"/>
    <x:col min="2" max="2" width="20" customWidth="1"/>
    <x:col min="3" max="3" width="22" customWidth="1"/>
    <x:col min="4" max="4" width="17" customWidth="1"/>
    <x:col min="5" max="5" width="18" customWidth="1"/>
    <x:col min="6" max="7" width="21" customWidth="1"/>
    <x:col min="8" max="8" width="19" customWidth="1"/>
    <x:col min="9" max="9" width="18" customWidth="1"/>
    <x:col min="10" max="10" width="10" customWidth="1"/>
  </x:cols>
  <x:sheetData>
    <x:row r="1" ht="30" customHeight="1">
      <x:c r="A1" s="12" t="s">
        <x:v>34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30">
      <x:c r="A2" s="1" t="s">
        <x:v>35</x:v>
      </x:c>
      <x:c r="B2" s="1" t="s">
        <x:v>36</x:v>
      </x:c>
      <x:c r="C2" s="1" t="s">
        <x:v>37</x:v>
      </x:c>
      <x:c r="D2" s="1" t="s">
        <x:v>38</x:v>
      </x:c>
      <x:c r="E2" s="1" t="s">
        <x:v>4</x:v>
      </x:c>
      <x:c r="F2" s="1" t="s">
        <x:v>39</x:v>
      </x:c>
      <x:c r="G2" s="1" t="s">
        <x:v>40</x:v>
      </x:c>
      <x:c r="H2" s="1" t="s">
        <x:v>41</x:v>
      </x:c>
      <x:c r="I2" s="1" t="s">
        <x:v>42</x:v>
      </x:c>
      <x:c r="J2" s="1" t="s">
        <x:v>43</x:v>
      </x:c>
    </x:row>
    <x:row r="3">
      <x:c r="A3" s="2" t="s">
        <x:v>44</x:v>
      </x:c>
      <x:c r="B3" s="2" t="s">
        <x:v>45</x:v>
      </x:c>
      <x:c r="C3" s="2"/>
      <x:c r="D3" s="2" t="s">
        <x:v>46</x:v>
      </x:c>
      <x:c r="E3" s="3">
        <x:v>4982</x:v>
      </x:c>
      <x:c r="F3" s="3">
        <x:v>500</x:v>
      </x:c>
      <x:c r="G3" s="6" t="n">
        <x:f t="shared" ref="G3:G8" si="0">MAX(0,E3-F3)</x:f>
        <x:v>4482</x:v>
      </x:c>
      <x:c r="H3" s="3">
        <x:v>0</x:v>
      </x:c>
      <x:c r="I3" s="6" t="n">
        <x:f t="shared" ref="I3:I8" si="1">E3-H3</x:f>
        <x:v>4982</x:v>
      </x:c>
      <x:c r="J3" s="2">
        <x:v>1</x:v>
      </x:c>
    </x:row>
    <x:row r="4">
      <x:c r="A4" s="2" t="s">
        <x:v>47</x:v>
      </x:c>
      <x:c r="B4" s="2" t="s">
        <x:v>48</x:v>
      </x:c>
      <x:c r="C4" s="2" t="s">
        <x:v>49</x:v>
      </x:c>
      <x:c r="D4" s="2" t="s">
        <x:v>50</x:v>
      </x:c>
      <x:c r="E4" s="3">
        <x:v>1600</x:v>
      </x:c>
      <x:c r="F4" s="3">
        <x:v>0</x:v>
      </x:c>
      <x:c r="G4" s="6">
        <x:f t="shared" si="0"/>
        <x:v>1600</x:v>
      </x:c>
      <x:c r="H4" s="3">
        <x:v>0</x:v>
      </x:c>
      <x:c r="I4" s="6">
        <x:f t="shared" si="1"/>
        <x:v>1600</x:v>
      </x:c>
      <x:c r="J4" s="2">
        <x:v>2</x:v>
      </x:c>
    </x:row>
    <x:row r="5">
      <x:c r="A5" s="2" t="s">
        <x:v>51</x:v>
      </x:c>
      <x:c r="B5" s="2" t="s">
        <x:v>48</x:v>
      </x:c>
      <x:c r="C5" s="2" t="s">
        <x:v>52</x:v>
      </x:c>
      <x:c r="D5" s="2" t="s">
        <x:v>50</x:v>
      </x:c>
      <x:c r="E5" s="3">
        <x:v>1000</x:v>
      </x:c>
      <x:c r="F5" s="3">
        <x:v>0</x:v>
      </x:c>
      <x:c r="G5" s="6">
        <x:f t="shared" si="0"/>
        <x:v>1000</x:v>
      </x:c>
      <x:c r="H5" s="3">
        <x:v>0</x:v>
      </x:c>
      <x:c r="I5" s="6">
        <x:f t="shared" si="1"/>
        <x:v>1000</x:v>
      </x:c>
      <x:c r="J5" s="2">
        <x:v>3</x:v>
      </x:c>
    </x:row>
    <x:row r="6">
      <x:c r="A6" s="2" t="s">
        <x:v>53</x:v>
      </x:c>
      <x:c r="B6" s="2" t="s">
        <x:v>48</x:v>
      </x:c>
      <x:c r="C6" s="2" t="s">
        <x:v>54</x:v>
      </x:c>
      <x:c r="D6" s="2" t="s">
        <x:v>50</x:v>
      </x:c>
      <x:c r="E6" s="3">
        <x:v>5000</x:v>
      </x:c>
      <x:c r="F6" s="3">
        <x:v>5000</x:v>
      </x:c>
      <x:c r="G6" s="6">
        <x:f t="shared" si="0"/>
        <x:v>0</x:v>
      </x:c>
      <x:c r="H6" s="3">
        <x:v>0</x:v>
      </x:c>
      <x:c r="I6" s="6">
        <x:f t="shared" si="1"/>
        <x:v>5000</x:v>
      </x:c>
      <x:c r="J6" s="2">
        <x:v>99</x:v>
      </x:c>
    </x:row>
    <x:row r="7">
      <x:c r="A7" s="2" t="s">
        <x:v>55</x:v>
      </x:c>
      <x:c r="B7" s="2" t="s">
        <x:v>48</x:v>
      </x:c>
      <x:c r="C7" s="2" t="s">
        <x:v>56</x:v>
      </x:c>
      <x:c r="D7" s="2" t="s">
        <x:v>50</x:v>
      </x:c>
      <x:c r="E7" s="3">
        <x:v>1200</x:v>
      </x:c>
      <x:c r="F7" s="3">
        <x:v>1200</x:v>
      </x:c>
      <x:c r="G7" s="6">
        <x:f t="shared" si="0"/>
        <x:v>0</x:v>
      </x:c>
      <x:c r="H7" s="3">
        <x:v>0</x:v>
      </x:c>
      <x:c r="I7" s="6">
        <x:f t="shared" si="1"/>
        <x:v>1200</x:v>
      </x:c>
      <x:c r="J7" s="2">
        <x:v>99</x:v>
      </x:c>
    </x:row>
    <x:row r="8">
      <x:c r="A8" s="2" t="s">
        <x:v>57</x:v>
      </x:c>
      <x:c r="B8" s="2" t="s">
        <x:v>48</x:v>
      </x:c>
      <x:c r="C8" s="2" t="s">
        <x:v>58</x:v>
      </x:c>
      <x:c r="D8" s="2" t="s">
        <x:v>50</x:v>
      </x:c>
      <x:c r="E8" s="3">
        <x:v>600</x:v>
      </x:c>
      <x:c r="F8" s="3">
        <x:v>600</x:v>
      </x:c>
      <x:c r="G8" s="6">
        <x:f t="shared" si="0"/>
        <x:v>0</x:v>
      </x:c>
      <x:c r="H8" s="3">
        <x:v>0</x:v>
      </x:c>
      <x:c r="I8" s="6">
        <x:f t="shared" si="1"/>
        <x:v>600</x:v>
      </x:c>
      <x:c r="J8" s="2">
        <x:v>99</x:v>
      </x:c>
    </x:row>
    <x:row r="9">
      <x:c r="A9" s="2"/>
      <x:c r="B9" s="2"/>
      <x:c r="C9" s="2"/>
      <x:c r="D9" s="2"/>
      <x:c r="E9" s="3"/>
      <x:c r="F9" s="3"/>
      <x:c r="G9" s="6"/>
      <x:c r="H9" s="3"/>
      <x:c r="I9" s="6"/>
      <x:c r="J9" s="2"/>
    </x:row>
    <x:row r="10">
      <x:c r="A10" s="2"/>
      <x:c r="B10" s="2"/>
      <x:c r="C10" s="2"/>
      <x:c r="D10" s="2"/>
      <x:c r="E10" s="3"/>
      <x:c r="F10" s="3"/>
      <x:c r="G10" s="6"/>
      <x:c r="H10" s="3"/>
      <x:c r="I10" s="6"/>
      <x:c r="J10" s="2"/>
    </x:row>
    <x:row r="11">
      <x:c r="A11" s="2"/>
      <x:c r="B11" s="2"/>
      <x:c r="C11" s="2"/>
      <x:c r="D11" s="2"/>
      <x:c r="E11" s="3"/>
      <x:c r="F11" s="3"/>
      <x:c r="G11" s="6"/>
      <x:c r="H11" s="3"/>
      <x:c r="I11" s="6"/>
      <x:c r="J11" s="2"/>
    </x:row>
    <x:row r="12">
      <x:c r="A12" s="2"/>
      <x:c r="B12" s="2"/>
      <x:c r="C12" s="2"/>
      <x:c r="D12" s="2"/>
      <x:c r="E12" s="3"/>
      <x:c r="F12" s="3"/>
      <x:c r="G12" s="6"/>
      <x:c r="H12" s="3"/>
      <x:c r="I12" s="6"/>
      <x:c r="J12" s="2"/>
    </x:row>
    <x:row r="13">
      <x:c r="A13" s="2"/>
      <x:c r="B13" s="2"/>
      <x:c r="C13" s="2"/>
      <x:c r="D13" s="2"/>
      <x:c r="E13" s="3"/>
      <x:c r="F13" s="3"/>
      <x:c r="G13" s="6"/>
      <x:c r="H13" s="3"/>
      <x:c r="I13" s="6"/>
      <x:c r="J13" s="2"/>
    </x:row>
    <x:row r="14">
      <x:c r="A14" s="2"/>
      <x:c r="B14" s="2"/>
      <x:c r="C14" s="2"/>
      <x:c r="D14" s="2"/>
      <x:c r="E14" s="3"/>
      <x:c r="F14" s="3"/>
      <x:c r="G14" s="6"/>
      <x:c r="H14" s="3"/>
      <x:c r="I14" s="6"/>
      <x:c r="J14" s="2"/>
    </x:row>
    <x:row r="15">
      <x:c r="A15" s="2"/>
      <x:c r="B15" s="2"/>
      <x:c r="C15" s="2"/>
      <x:c r="D15" s="2"/>
      <x:c r="E15" s="3"/>
      <x:c r="F15" s="3"/>
      <x:c r="G15" s="6"/>
      <x:c r="H15" s="3"/>
      <x:c r="I15" s="6"/>
      <x:c r="J15" s="2"/>
    </x:row>
    <x:row r="16">
      <x:c r="A16" s="2"/>
      <x:c r="B16" s="2"/>
      <x:c r="C16" s="2"/>
      <x:c r="D16" s="2"/>
      <x:c r="E16" s="3"/>
      <x:c r="F16" s="3"/>
      <x:c r="G16" s="6"/>
      <x:c r="H16" s="3"/>
      <x:c r="I16" s="6"/>
      <x:c r="J16" s="2"/>
    </x:row>
    <x:row r="17">
      <x:c r="A17" s="2"/>
      <x:c r="B17" s="2"/>
      <x:c r="C17" s="2"/>
      <x:c r="D17" s="2"/>
      <x:c r="E17" s="3"/>
      <x:c r="F17" s="3"/>
      <x:c r="G17" s="6"/>
      <x:c r="H17" s="3"/>
      <x:c r="I17" s="6"/>
      <x:c r="J17" s="2"/>
    </x:row>
    <x:row r="18">
      <x:c r="A18" s="2"/>
      <x:c r="B18" s="2"/>
      <x:c r="C18" s="2"/>
      <x:c r="D18" s="2"/>
      <x:c r="E18" s="3"/>
      <x:c r="F18" s="3"/>
      <x:c r="G18" s="6"/>
      <x:c r="H18" s="3"/>
      <x:c r="I18" s="6"/>
      <x:c r="J18" s="2"/>
    </x:row>
    <x:row r="19">
      <x:c r="A19" s="2"/>
      <x:c r="B19" s="2"/>
      <x:c r="C19" s="2"/>
      <x:c r="D19" s="2"/>
      <x:c r="E19" s="3"/>
      <x:c r="F19" s="3"/>
      <x:c r="G19" s="6"/>
      <x:c r="H19" s="3"/>
      <x:c r="I19" s="6"/>
      <x:c r="J19" s="2"/>
    </x:row>
    <x:row r="20">
      <x:c r="A20" s="2"/>
      <x:c r="B20" s="2"/>
      <x:c r="C20" s="2"/>
      <x:c r="D20" s="2"/>
      <x:c r="E20" s="3"/>
      <x:c r="F20" s="3"/>
      <x:c r="G20" s="6"/>
      <x:c r="H20" s="3"/>
      <x:c r="I20" s="6"/>
      <x:c r="J20" s="2"/>
    </x:row>
    <x:row r="21">
      <x:c r="A21" s="2"/>
      <x:c r="B21" s="2"/>
      <x:c r="C21" s="2"/>
      <x:c r="D21" s="2"/>
      <x:c r="E21" s="3"/>
      <x:c r="F21" s="3"/>
      <x:c r="G21" s="6"/>
      <x:c r="H21" s="3"/>
      <x:c r="I21" s="6"/>
      <x:c r="J21" s="2"/>
    </x:row>
    <x:row r="22">
      <x:c r="A22" s="2"/>
      <x:c r="B22" s="2"/>
      <x:c r="C22" s="2"/>
      <x:c r="D22" s="2"/>
      <x:c r="E22" s="3"/>
      <x:c r="F22" s="3"/>
      <x:c r="G22" s="6"/>
      <x:c r="H22" s="3"/>
      <x:c r="I22" s="6"/>
      <x:c r="J22" s="2"/>
    </x:row>
    <x:row r="23">
      <x:c r="A23" s="2"/>
      <x:c r="B23" s="2"/>
      <x:c r="C23" s="2"/>
      <x:c r="D23" s="2"/>
      <x:c r="E23" s="3"/>
      <x:c r="F23" s="3"/>
      <x:c r="G23" s="6"/>
      <x:c r="H23" s="3"/>
      <x:c r="I23" s="6"/>
      <x:c r="J23" s="2"/>
    </x:row>
    <x:row r="24">
      <x:c r="A24" s="2"/>
      <x:c r="B24" s="2"/>
      <x:c r="C24" s="2"/>
      <x:c r="D24" s="2"/>
      <x:c r="E24" s="3"/>
      <x:c r="F24" s="3"/>
      <x:c r="G24" s="6"/>
      <x:c r="H24" s="3"/>
      <x:c r="I24" s="6"/>
      <x:c r="J24" s="2"/>
    </x:row>
    <x:row r="25">
      <x:c r="A25" s="2"/>
      <x:c r="B25" s="2"/>
      <x:c r="C25" s="2"/>
      <x:c r="D25" s="2"/>
      <x:c r="E25" s="3"/>
      <x:c r="F25" s="3"/>
      <x:c r="G25" s="6"/>
      <x:c r="H25" s="3"/>
      <x:c r="I25" s="6"/>
      <x:c r="J25" s="2"/>
    </x:row>
    <x:row r="26">
      <x:c r="A26" s="2"/>
      <x:c r="B26" s="2"/>
      <x:c r="C26" s="2"/>
      <x:c r="D26" s="2"/>
      <x:c r="E26" s="3"/>
      <x:c r="F26" s="3"/>
      <x:c r="G26" s="6"/>
      <x:c r="H26" s="3"/>
      <x:c r="I26" s="6"/>
      <x:c r="J26" s="2"/>
    </x:row>
    <x:row r="27">
      <x:c r="A27" s="2"/>
      <x:c r="B27" s="2"/>
      <x:c r="C27" s="2"/>
      <x:c r="D27" s="2"/>
      <x:c r="E27" s="3"/>
      <x:c r="F27" s="3"/>
      <x:c r="G27" s="6"/>
      <x:c r="H27" s="3"/>
      <x:c r="I27" s="6"/>
      <x:c r="J27" s="2"/>
    </x:row>
    <x:row r="28">
      <x:c r="A28" s="2"/>
      <x:c r="B28" s="2"/>
      <x:c r="C28" s="2"/>
      <x:c r="D28" s="2"/>
      <x:c r="E28" s="3"/>
      <x:c r="F28" s="3"/>
      <x:c r="G28" s="6"/>
      <x:c r="H28" s="3"/>
      <x:c r="I28" s="6"/>
      <x:c r="J28" s="2"/>
    </x:row>
    <x:row r="29">
      <x:c r="A29" s="2"/>
      <x:c r="B29" s="2"/>
      <x:c r="C29" s="2"/>
      <x:c r="D29" s="2"/>
      <x:c r="E29" s="3"/>
      <x:c r="F29" s="3"/>
      <x:c r="G29" s="6"/>
      <x:c r="H29" s="3"/>
      <x:c r="I29" s="6"/>
      <x:c r="J29" s="2"/>
    </x:row>
    <x:row r="30">
      <x:c r="A30" s="2"/>
      <x:c r="B30" s="2"/>
      <x:c r="C30" s="2"/>
      <x:c r="D30" s="2"/>
      <x:c r="E30" s="3"/>
      <x:c r="F30" s="3"/>
      <x:c r="G30" s="6"/>
      <x:c r="H30" s="3"/>
      <x:c r="I30" s="6"/>
      <x:c r="J30" s="2"/>
    </x:row>
    <x:row r="31">
      <x:c r="A31" s="2"/>
      <x:c r="B31" s="2"/>
      <x:c r="C31" s="2"/>
      <x:c r="D31" s="2"/>
      <x:c r="E31" s="3"/>
      <x:c r="F31" s="3"/>
      <x:c r="G31" s="6"/>
      <x:c r="H31" s="3"/>
      <x:c r="I31" s="6"/>
      <x:c r="J31" s="2"/>
    </x:row>
    <x:row r="32">
      <x:c r="A32" s="2"/>
      <x:c r="B32" s="2"/>
      <x:c r="C32" s="2"/>
      <x:c r="D32" s="2"/>
      <x:c r="E32" s="3"/>
      <x:c r="F32" s="3"/>
      <x:c r="G32" s="6"/>
      <x:c r="H32" s="3"/>
      <x:c r="I32" s="6"/>
      <x:c r="J32" s="2"/>
    </x:row>
    <x:row r="33">
      <x:c r="A33" s="2"/>
      <x:c r="B33" s="2"/>
      <x:c r="C33" s="2"/>
      <x:c r="D33" s="2"/>
      <x:c r="E33" s="3"/>
      <x:c r="F33" s="3"/>
      <x:c r="G33" s="6"/>
      <x:c r="H33" s="3"/>
      <x:c r="I33" s="6"/>
      <x:c r="J33" s="2"/>
    </x:row>
    <x:row r="34">
      <x:c r="A34" s="2"/>
      <x:c r="B34" s="2"/>
      <x:c r="C34" s="2"/>
      <x:c r="D34" s="2"/>
      <x:c r="E34" s="3"/>
      <x:c r="F34" s="3"/>
      <x:c r="G34" s="6"/>
      <x:c r="H34" s="3"/>
      <x:c r="I34" s="6"/>
      <x:c r="J34" s="2"/>
    </x:row>
    <x:row r="35">
      <x:c r="A35" s="2"/>
      <x:c r="B35" s="2"/>
      <x:c r="C35" s="2"/>
      <x:c r="D35" s="2"/>
      <x:c r="E35" s="3"/>
      <x:c r="F35" s="3"/>
      <x:c r="G35" s="6"/>
      <x:c r="H35" s="3"/>
      <x:c r="I35" s="6"/>
      <x:c r="J35" s="2"/>
    </x:row>
    <x:row r="36">
      <x:c r="A36" s="2"/>
      <x:c r="B36" s="2"/>
      <x:c r="C36" s="2"/>
      <x:c r="D36" s="2"/>
      <x:c r="E36" s="3"/>
      <x:c r="F36" s="3"/>
      <x:c r="G36" s="6"/>
      <x:c r="H36" s="3"/>
      <x:c r="I36" s="6"/>
      <x:c r="J36" s="2"/>
    </x:row>
    <x:row r="37">
      <x:c r="A37" s="2"/>
      <x:c r="B37" s="2"/>
      <x:c r="C37" s="2"/>
      <x:c r="D37" s="2"/>
      <x:c r="E37" s="3"/>
      <x:c r="F37" s="3"/>
      <x:c r="G37" s="6"/>
      <x:c r="H37" s="3"/>
      <x:c r="I37" s="6"/>
      <x:c r="J37" s="2"/>
    </x:row>
    <x:row r="38">
      <x:c r="A38" s="2"/>
      <x:c r="B38" s="2"/>
      <x:c r="C38" s="2"/>
      <x:c r="D38" s="2"/>
      <x:c r="E38" s="3"/>
      <x:c r="F38" s="3"/>
      <x:c r="G38" s="6"/>
      <x:c r="H38" s="3"/>
      <x:c r="I38" s="6"/>
      <x:c r="J38" s="2"/>
    </x:row>
    <x:row r="39">
      <x:c r="A39" s="2"/>
      <x:c r="B39" s="2"/>
      <x:c r="C39" s="2"/>
      <x:c r="D39" s="2"/>
      <x:c r="E39" s="3"/>
      <x:c r="F39" s="3"/>
      <x:c r="G39" s="6"/>
      <x:c r="H39" s="3"/>
      <x:c r="I39" s="6"/>
      <x:c r="J39" s="2"/>
    </x:row>
    <x:row r="40">
      <x:c r="A40" s="2"/>
      <x:c r="B40" s="2"/>
      <x:c r="C40" s="2"/>
      <x:c r="D40" s="2"/>
      <x:c r="E40" s="3"/>
      <x:c r="F40" s="3"/>
      <x:c r="G40" s="6"/>
      <x:c r="H40" s="3"/>
      <x:c r="I40" s="6"/>
      <x:c r="J40" s="2"/>
    </x:row>
    <x:row r="41">
      <x:c r="A41" s="2"/>
      <x:c r="B41" s="2"/>
      <x:c r="C41" s="2"/>
      <x:c r="D41" s="2"/>
      <x:c r="E41" s="3"/>
      <x:c r="F41" s="3"/>
      <x:c r="G41" s="6"/>
      <x:c r="H41" s="3"/>
      <x:c r="I41" s="6"/>
      <x:c r="J41" s="2"/>
    </x:row>
    <x:row r="42">
      <x:c r="A42" s="2"/>
      <x:c r="B42" s="2"/>
      <x:c r="C42" s="2"/>
      <x:c r="D42" s="2"/>
      <x:c r="E42" s="3"/>
      <x:c r="F42" s="3"/>
      <x:c r="G42" s="6"/>
      <x:c r="H42" s="3"/>
      <x:c r="I42" s="6"/>
      <x:c r="J42" s="2"/>
    </x:row>
    <x:row r="43">
      <x:c r="A43" s="2"/>
      <x:c r="B43" s="2"/>
      <x:c r="C43" s="2"/>
      <x:c r="D43" s="2"/>
      <x:c r="E43" s="3"/>
      <x:c r="F43" s="3"/>
      <x:c r="G43" s="6"/>
      <x:c r="H43" s="3"/>
      <x:c r="I43" s="6"/>
      <x:c r="J43" s="2"/>
    </x:row>
    <x:row r="44">
      <x:c r="A44" s="2"/>
      <x:c r="B44" s="2"/>
      <x:c r="C44" s="2"/>
      <x:c r="D44" s="2"/>
      <x:c r="E44" s="3"/>
      <x:c r="F44" s="3"/>
      <x:c r="G44" s="6"/>
      <x:c r="H44" s="3"/>
      <x:c r="I44" s="6"/>
      <x:c r="J44" s="2"/>
    </x:row>
    <x:row r="45">
      <x:c r="A45" s="2"/>
      <x:c r="B45" s="2"/>
      <x:c r="C45" s="2"/>
      <x:c r="D45" s="2"/>
      <x:c r="E45" s="3"/>
      <x:c r="F45" s="3"/>
      <x:c r="G45" s="6"/>
      <x:c r="H45" s="3"/>
      <x:c r="I45" s="6"/>
      <x:c r="J45" s="2"/>
    </x:row>
    <x:row r="46">
      <x:c r="A46" s="2"/>
      <x:c r="B46" s="2"/>
      <x:c r="C46" s="2"/>
      <x:c r="D46" s="2"/>
      <x:c r="E46" s="3"/>
      <x:c r="F46" s="3"/>
      <x:c r="G46" s="6"/>
      <x:c r="H46" s="3"/>
      <x:c r="I46" s="6"/>
      <x:c r="J46" s="2"/>
    </x:row>
    <x:row r="47">
      <x:c r="A47" s="2"/>
      <x:c r="B47" s="2"/>
      <x:c r="C47" s="2"/>
      <x:c r="D47" s="2"/>
      <x:c r="E47" s="3"/>
      <x:c r="F47" s="3"/>
      <x:c r="G47" s="6"/>
      <x:c r="H47" s="3"/>
      <x:c r="I47" s="6"/>
      <x:c r="J47" s="2"/>
    </x:row>
    <x:row r="48">
      <x:c r="A48" s="2"/>
      <x:c r="B48" s="2"/>
      <x:c r="C48" s="2"/>
      <x:c r="D48" s="2"/>
      <x:c r="E48" s="3"/>
      <x:c r="F48" s="3"/>
      <x:c r="G48" s="6"/>
      <x:c r="H48" s="3"/>
      <x:c r="I48" s="6"/>
      <x:c r="J48" s="2"/>
    </x:row>
    <x:row r="49">
      <x:c r="A49" s="2"/>
      <x:c r="B49" s="2"/>
      <x:c r="C49" s="2"/>
      <x:c r="D49" s="2"/>
      <x:c r="E49" s="3"/>
      <x:c r="F49" s="3"/>
      <x:c r="G49" s="6"/>
      <x:c r="H49" s="3"/>
      <x:c r="I49" s="6"/>
      <x:c r="J49" s="2"/>
    </x:row>
    <x:row r="50">
      <x:c r="A50" s="2"/>
      <x:c r="B50" s="2"/>
      <x:c r="C50" s="2"/>
      <x:c r="D50" s="2"/>
      <x:c r="E50" s="3"/>
      <x:c r="F50" s="3"/>
      <x:c r="G50" s="6"/>
      <x:c r="H50" s="3"/>
      <x:c r="I50" s="6"/>
      <x:c r="J50" s="2"/>
    </x:row>
    <x:row r="51">
      <x:c r="A51" s="2"/>
      <x:c r="B51" s="2"/>
      <x:c r="C51" s="2"/>
      <x:c r="D51" s="2"/>
      <x:c r="E51" s="3"/>
      <x:c r="F51" s="3"/>
      <x:c r="G51" s="6"/>
      <x:c r="H51" s="3"/>
      <x:c r="I51" s="6"/>
      <x:c r="J51" s="2"/>
    </x:row>
    <x:row r="52">
      <x:c r="A52" s="2"/>
      <x:c r="B52" s="2"/>
      <x:c r="C52" s="2"/>
      <x:c r="D52" s="2"/>
      <x:c r="E52" s="3"/>
      <x:c r="F52" s="3"/>
      <x:c r="G52" s="6"/>
      <x:c r="H52" s="3"/>
      <x:c r="I52" s="6"/>
      <x:c r="J52" s="2"/>
    </x:row>
    <x:row r="53">
      <x:c r="A53" s="2"/>
      <x:c r="B53" s="2"/>
      <x:c r="C53" s="2"/>
      <x:c r="D53" s="2"/>
      <x:c r="E53" s="3"/>
      <x:c r="F53" s="3"/>
      <x:c r="G53" s="6"/>
      <x:c r="H53" s="3"/>
      <x:c r="I53" s="6"/>
      <x:c r="J53" s="2"/>
    </x:row>
    <x:row r="54">
      <x:c r="A54" s="2"/>
      <x:c r="B54" s="2"/>
      <x:c r="C54" s="2"/>
      <x:c r="D54" s="2"/>
      <x:c r="E54" s="3"/>
      <x:c r="F54" s="3"/>
      <x:c r="G54" s="6"/>
      <x:c r="H54" s="3"/>
      <x:c r="I54" s="6"/>
      <x:c r="J54" s="2"/>
    </x:row>
    <x:row r="55">
      <x:c r="A55" s="2"/>
      <x:c r="B55" s="2"/>
      <x:c r="C55" s="2"/>
      <x:c r="D55" s="2"/>
      <x:c r="E55" s="3"/>
      <x:c r="F55" s="3"/>
      <x:c r="G55" s="6"/>
      <x:c r="H55" s="3"/>
      <x:c r="I55" s="6"/>
      <x:c r="J55" s="2"/>
    </x:row>
    <x:row r="56">
      <x:c r="A56" s="2"/>
      <x:c r="B56" s="2"/>
      <x:c r="C56" s="2"/>
      <x:c r="D56" s="2"/>
      <x:c r="E56" s="3"/>
      <x:c r="F56" s="3"/>
      <x:c r="G56" s="6"/>
      <x:c r="H56" s="3"/>
      <x:c r="I56" s="6"/>
      <x:c r="J56" s="2"/>
    </x:row>
    <x:row r="57">
      <x:c r="A57" s="2"/>
      <x:c r="B57" s="2"/>
      <x:c r="C57" s="2"/>
      <x:c r="D57" s="2"/>
      <x:c r="E57" s="3"/>
      <x:c r="F57" s="3"/>
      <x:c r="G57" s="6"/>
      <x:c r="H57" s="3"/>
      <x:c r="I57" s="6"/>
      <x:c r="J57" s="2"/>
    </x:row>
    <x:row r="58">
      <x:c r="A58" s="2"/>
      <x:c r="B58" s="2"/>
      <x:c r="C58" s="2"/>
      <x:c r="D58" s="2"/>
      <x:c r="E58" s="3"/>
      <x:c r="F58" s="3"/>
      <x:c r="G58" s="6"/>
      <x:c r="H58" s="3"/>
      <x:c r="I58" s="6"/>
      <x:c r="J58" s="2"/>
    </x:row>
    <x:row r="59">
      <x:c r="A59" s="2"/>
      <x:c r="B59" s="2"/>
      <x:c r="C59" s="2"/>
      <x:c r="D59" s="2"/>
      <x:c r="E59" s="3"/>
      <x:c r="F59" s="3"/>
      <x:c r="G59" s="6"/>
      <x:c r="H59" s="3"/>
      <x:c r="I59" s="6"/>
      <x:c r="J59" s="2"/>
    </x:row>
    <x:row r="60">
      <x:c r="A60" s="2"/>
      <x:c r="B60" s="2"/>
      <x:c r="C60" s="2"/>
      <x:c r="D60" s="2"/>
      <x:c r="E60" s="3"/>
      <x:c r="F60" s="3"/>
      <x:c r="G60" s="6"/>
      <x:c r="H60" s="3"/>
      <x:c r="I60" s="6"/>
      <x:c r="J60" s="2"/>
    </x:row>
    <x:row r="61">
      <x:c r="A61" s="2"/>
      <x:c r="B61" s="2"/>
      <x:c r="C61" s="2"/>
      <x:c r="D61" s="2"/>
      <x:c r="E61" s="3"/>
      <x:c r="F61" s="3"/>
      <x:c r="G61" s="6"/>
      <x:c r="H61" s="3"/>
      <x:c r="I61" s="6"/>
      <x:c r="J61" s="2"/>
    </x:row>
    <x:row r="62">
      <x:c r="A62" s="2"/>
      <x:c r="B62" s="2"/>
      <x:c r="C62" s="2"/>
      <x:c r="D62" s="2"/>
      <x:c r="E62" s="3"/>
      <x:c r="F62" s="3"/>
      <x:c r="G62" s="6"/>
      <x:c r="H62" s="3"/>
      <x:c r="I62" s="6"/>
      <x:c r="J62" s="2"/>
    </x:row>
    <x:row r="63">
      <x:c r="A63" s="2"/>
      <x:c r="B63" s="2"/>
      <x:c r="C63" s="2"/>
      <x:c r="D63" s="2"/>
      <x:c r="E63" s="3"/>
      <x:c r="F63" s="3"/>
      <x:c r="G63" s="6"/>
      <x:c r="H63" s="3"/>
      <x:c r="I63" s="6"/>
      <x:c r="J63" s="2"/>
    </x:row>
    <x:row r="64">
      <x:c r="A64" s="2"/>
      <x:c r="B64" s="2"/>
      <x:c r="C64" s="2"/>
      <x:c r="D64" s="2"/>
      <x:c r="E64" s="3"/>
      <x:c r="F64" s="3"/>
      <x:c r="G64" s="6"/>
      <x:c r="H64" s="3"/>
      <x:c r="I64" s="6"/>
      <x:c r="J64" s="2"/>
    </x:row>
    <x:row r="65">
      <x:c r="A65" s="2"/>
      <x:c r="B65" s="2"/>
      <x:c r="C65" s="2"/>
      <x:c r="D65" s="2"/>
      <x:c r="E65" s="3"/>
      <x:c r="F65" s="3"/>
      <x:c r="G65" s="6"/>
      <x:c r="H65" s="3"/>
      <x:c r="I65" s="6"/>
      <x:c r="J65" s="2"/>
    </x:row>
    <x:row r="66">
      <x:c r="A66" s="2"/>
      <x:c r="B66" s="2"/>
      <x:c r="C66" s="2"/>
      <x:c r="D66" s="2"/>
      <x:c r="E66" s="3"/>
      <x:c r="F66" s="3"/>
      <x:c r="G66" s="6"/>
      <x:c r="H66" s="3"/>
      <x:c r="I66" s="6"/>
      <x:c r="J66" s="2"/>
    </x:row>
    <x:row r="67">
      <x:c r="A67" s="2"/>
      <x:c r="B67" s="2"/>
      <x:c r="C67" s="2"/>
      <x:c r="D67" s="2"/>
      <x:c r="E67" s="3"/>
      <x:c r="F67" s="3"/>
      <x:c r="G67" s="6"/>
      <x:c r="H67" s="3"/>
      <x:c r="I67" s="6"/>
      <x:c r="J67" s="2"/>
    </x:row>
    <x:row r="68">
      <x:c r="A68" s="2"/>
      <x:c r="B68" s="2"/>
      <x:c r="C68" s="2"/>
      <x:c r="D68" s="2"/>
      <x:c r="E68" s="3"/>
      <x:c r="F68" s="3"/>
      <x:c r="G68" s="6"/>
      <x:c r="H68" s="3"/>
      <x:c r="I68" s="6"/>
      <x:c r="J68" s="2"/>
    </x:row>
    <x:row r="69">
      <x:c r="A69" s="2"/>
      <x:c r="B69" s="2"/>
      <x:c r="C69" s="2"/>
      <x:c r="D69" s="2"/>
      <x:c r="E69" s="3"/>
      <x:c r="F69" s="3"/>
      <x:c r="G69" s="6"/>
      <x:c r="H69" s="3"/>
      <x:c r="I69" s="6"/>
      <x:c r="J69" s="2"/>
    </x:row>
    <x:row r="70">
      <x:c r="A70" s="2"/>
      <x:c r="B70" s="2"/>
      <x:c r="C70" s="2"/>
      <x:c r="D70" s="2"/>
      <x:c r="E70" s="3"/>
      <x:c r="F70" s="3"/>
      <x:c r="G70" s="6"/>
      <x:c r="H70" s="3"/>
      <x:c r="I70" s="6"/>
      <x:c r="J70" s="2"/>
    </x:row>
    <x:row r="71">
      <x:c r="A71" s="2"/>
      <x:c r="B71" s="2"/>
      <x:c r="C71" s="2"/>
      <x:c r="D71" s="2"/>
      <x:c r="E71" s="3"/>
      <x:c r="F71" s="3"/>
      <x:c r="G71" s="6"/>
      <x:c r="H71" s="3"/>
      <x:c r="I71" s="6"/>
      <x:c r="J71" s="2"/>
    </x:row>
    <x:row r="72">
      <x:c r="A72" s="2"/>
      <x:c r="B72" s="2"/>
      <x:c r="C72" s="2"/>
      <x:c r="D72" s="2"/>
      <x:c r="E72" s="3"/>
      <x:c r="F72" s="3"/>
      <x:c r="G72" s="6"/>
      <x:c r="H72" s="3"/>
      <x:c r="I72" s="6"/>
      <x:c r="J72" s="2"/>
    </x:row>
    <x:row r="73">
      <x:c r="A73" s="2"/>
      <x:c r="B73" s="2"/>
      <x:c r="C73" s="2"/>
      <x:c r="D73" s="2"/>
      <x:c r="E73" s="3"/>
      <x:c r="F73" s="3"/>
      <x:c r="G73" s="6"/>
      <x:c r="H73" s="3"/>
      <x:c r="I73" s="6"/>
      <x:c r="J73" s="2"/>
    </x:row>
    <x:row r="74">
      <x:c r="A74" s="2"/>
      <x:c r="B74" s="2"/>
      <x:c r="C74" s="2"/>
      <x:c r="D74" s="2"/>
      <x:c r="E74" s="3"/>
      <x:c r="F74" s="3"/>
      <x:c r="G74" s="6"/>
      <x:c r="H74" s="3"/>
      <x:c r="I74" s="6"/>
      <x:c r="J74" s="2"/>
    </x:row>
    <x:row r="75">
      <x:c r="A75" s="2"/>
      <x:c r="B75" s="2"/>
      <x:c r="C75" s="2"/>
      <x:c r="D75" s="2"/>
      <x:c r="E75" s="3"/>
      <x:c r="F75" s="3"/>
      <x:c r="G75" s="6"/>
      <x:c r="H75" s="3"/>
      <x:c r="I75" s="6"/>
      <x:c r="J75" s="2"/>
    </x:row>
    <x:row r="76">
      <x:c r="A76" s="2"/>
      <x:c r="B76" s="2"/>
      <x:c r="C76" s="2"/>
      <x:c r="D76" s="2"/>
      <x:c r="E76" s="3"/>
      <x:c r="F76" s="3"/>
      <x:c r="G76" s="6"/>
      <x:c r="H76" s="3"/>
      <x:c r="I76" s="6"/>
      <x:c r="J76" s="2"/>
    </x:row>
    <x:row r="77">
      <x:c r="A77" s="2"/>
      <x:c r="B77" s="2"/>
      <x:c r="C77" s="2"/>
      <x:c r="D77" s="2"/>
      <x:c r="E77" s="3"/>
      <x:c r="F77" s="3"/>
      <x:c r="G77" s="6"/>
      <x:c r="H77" s="3"/>
      <x:c r="I77" s="6"/>
      <x:c r="J77" s="2"/>
    </x:row>
    <x:row r="78">
      <x:c r="A78" s="2"/>
      <x:c r="B78" s="2"/>
      <x:c r="C78" s="2"/>
      <x:c r="D78" s="2"/>
      <x:c r="E78" s="3"/>
      <x:c r="F78" s="3"/>
      <x:c r="G78" s="6"/>
      <x:c r="H78" s="3"/>
      <x:c r="I78" s="6"/>
      <x:c r="J78" s="2"/>
    </x:row>
    <x:row r="79">
      <x:c r="A79" s="2"/>
      <x:c r="B79" s="2"/>
      <x:c r="C79" s="2"/>
      <x:c r="D79" s="2"/>
      <x:c r="E79" s="3"/>
      <x:c r="F79" s="3"/>
      <x:c r="G79" s="6"/>
      <x:c r="H79" s="3"/>
      <x:c r="I79" s="6"/>
      <x:c r="J79" s="2"/>
    </x:row>
    <x:row r="80">
      <x:c r="A80" s="2"/>
      <x:c r="B80" s="2"/>
      <x:c r="C80" s="2"/>
      <x:c r="D80" s="2"/>
      <x:c r="E80" s="3"/>
      <x:c r="F80" s="3"/>
      <x:c r="G80" s="6"/>
      <x:c r="H80" s="3"/>
      <x:c r="I80" s="6"/>
      <x:c r="J80" s="2"/>
    </x:row>
    <x:row r="81">
      <x:c r="A81" s="2"/>
      <x:c r="B81" s="2"/>
      <x:c r="C81" s="2"/>
      <x:c r="D81" s="2"/>
      <x:c r="E81" s="3"/>
      <x:c r="F81" s="3"/>
      <x:c r="G81" s="6"/>
      <x:c r="H81" s="3"/>
      <x:c r="I81" s="6"/>
      <x:c r="J81" s="2"/>
    </x:row>
    <x:row r="82">
      <x:c r="A82" s="2"/>
      <x:c r="B82" s="2"/>
      <x:c r="C82" s="2"/>
      <x:c r="D82" s="2"/>
      <x:c r="E82" s="3"/>
      <x:c r="F82" s="3"/>
      <x:c r="G82" s="6"/>
      <x:c r="H82" s="3"/>
      <x:c r="I82" s="6"/>
      <x:c r="J82" s="2"/>
    </x:row>
    <x:row r="83">
      <x:c r="A83" s="2"/>
      <x:c r="B83" s="2"/>
      <x:c r="C83" s="2"/>
      <x:c r="D83" s="2"/>
      <x:c r="E83" s="3"/>
      <x:c r="F83" s="3"/>
      <x:c r="G83" s="6"/>
      <x:c r="H83" s="3"/>
      <x:c r="I83" s="6"/>
      <x:c r="J83" s="2"/>
    </x:row>
    <x:row r="84">
      <x:c r="A84" s="2"/>
      <x:c r="B84" s="2"/>
      <x:c r="C84" s="2"/>
      <x:c r="D84" s="2"/>
      <x:c r="E84" s="3"/>
      <x:c r="F84" s="3"/>
      <x:c r="G84" s="6"/>
      <x:c r="H84" s="3"/>
      <x:c r="I84" s="6"/>
      <x:c r="J84" s="2"/>
    </x:row>
    <x:row r="85">
      <x:c r="A85" s="2"/>
      <x:c r="B85" s="2"/>
      <x:c r="C85" s="2"/>
      <x:c r="D85" s="2"/>
      <x:c r="E85" s="3"/>
      <x:c r="F85" s="3"/>
      <x:c r="G85" s="6"/>
      <x:c r="H85" s="3"/>
      <x:c r="I85" s="6"/>
      <x:c r="J85" s="2"/>
    </x:row>
    <x:row r="86">
      <x:c r="A86" s="2"/>
      <x:c r="B86" s="2"/>
      <x:c r="C86" s="2"/>
      <x:c r="D86" s="2"/>
      <x:c r="E86" s="3"/>
      <x:c r="F86" s="3"/>
      <x:c r="G86" s="6"/>
      <x:c r="H86" s="3"/>
      <x:c r="I86" s="6"/>
      <x:c r="J86" s="2"/>
    </x:row>
    <x:row r="87">
      <x:c r="A87" s="2"/>
      <x:c r="B87" s="2"/>
      <x:c r="C87" s="2"/>
      <x:c r="D87" s="2"/>
      <x:c r="E87" s="3"/>
      <x:c r="F87" s="3"/>
      <x:c r="G87" s="6"/>
      <x:c r="H87" s="3"/>
      <x:c r="I87" s="6"/>
      <x:c r="J87" s="2"/>
    </x:row>
    <x:row r="88">
      <x:c r="A88" s="2"/>
      <x:c r="B88" s="2"/>
      <x:c r="C88" s="2"/>
      <x:c r="D88" s="2"/>
      <x:c r="E88" s="3"/>
      <x:c r="F88" s="3"/>
      <x:c r="G88" s="6"/>
      <x:c r="H88" s="3"/>
      <x:c r="I88" s="6"/>
      <x:c r="J88" s="2"/>
    </x:row>
    <x:row r="89">
      <x:c r="A89" s="2"/>
      <x:c r="B89" s="2"/>
      <x:c r="C89" s="2"/>
      <x:c r="D89" s="2"/>
      <x:c r="E89" s="3"/>
      <x:c r="F89" s="3"/>
      <x:c r="G89" s="6"/>
      <x:c r="H89" s="3"/>
      <x:c r="I89" s="6"/>
      <x:c r="J89" s="2"/>
    </x:row>
    <x:row r="90">
      <x:c r="A90" s="2"/>
      <x:c r="B90" s="2"/>
      <x:c r="C90" s="2"/>
      <x:c r="D90" s="2"/>
      <x:c r="E90" s="3"/>
      <x:c r="F90" s="3"/>
      <x:c r="G90" s="6"/>
      <x:c r="H90" s="3"/>
      <x:c r="I90" s="6"/>
      <x:c r="J90" s="2"/>
    </x:row>
    <x:row r="91">
      <x:c r="A91" s="2"/>
      <x:c r="B91" s="2"/>
      <x:c r="C91" s="2"/>
      <x:c r="D91" s="2"/>
      <x:c r="E91" s="3"/>
      <x:c r="F91" s="3"/>
      <x:c r="G91" s="6"/>
      <x:c r="H91" s="3"/>
      <x:c r="I91" s="6"/>
      <x:c r="J91" s="2"/>
    </x:row>
    <x:row r="92">
      <x:c r="A92" s="2"/>
      <x:c r="B92" s="2"/>
      <x:c r="C92" s="2"/>
      <x:c r="D92" s="2"/>
      <x:c r="E92" s="3"/>
      <x:c r="F92" s="3"/>
      <x:c r="G92" s="6"/>
      <x:c r="H92" s="3"/>
      <x:c r="I92" s="6"/>
      <x:c r="J92" s="2"/>
    </x:row>
    <x:row r="93">
      <x:c r="A93" s="2"/>
      <x:c r="B93" s="2"/>
      <x:c r="C93" s="2"/>
      <x:c r="D93" s="2"/>
      <x:c r="E93" s="3"/>
      <x:c r="F93" s="3"/>
      <x:c r="G93" s="6"/>
      <x:c r="H93" s="3"/>
      <x:c r="I93" s="6"/>
      <x:c r="J93" s="2"/>
    </x:row>
    <x:row r="94">
      <x:c r="A94" s="2"/>
      <x:c r="B94" s="2"/>
      <x:c r="C94" s="2"/>
      <x:c r="D94" s="2"/>
      <x:c r="E94" s="3"/>
      <x:c r="F94" s="3"/>
      <x:c r="G94" s="6"/>
      <x:c r="H94" s="3"/>
      <x:c r="I94" s="6"/>
      <x:c r="J94" s="2"/>
    </x:row>
    <x:row r="95">
      <x:c r="A95" s="2"/>
      <x:c r="B95" s="2"/>
      <x:c r="C95" s="2"/>
      <x:c r="D95" s="2"/>
      <x:c r="E95" s="3"/>
      <x:c r="F95" s="3"/>
      <x:c r="G95" s="6"/>
      <x:c r="H95" s="3"/>
      <x:c r="I95" s="6"/>
      <x:c r="J95" s="2"/>
    </x:row>
    <x:row r="96">
      <x:c r="A96" s="2"/>
      <x:c r="B96" s="2"/>
      <x:c r="C96" s="2"/>
      <x:c r="D96" s="2"/>
      <x:c r="E96" s="3"/>
      <x:c r="F96" s="3"/>
      <x:c r="G96" s="6"/>
      <x:c r="H96" s="3"/>
      <x:c r="I96" s="6"/>
      <x:c r="J96" s="2"/>
    </x:row>
    <x:row r="97">
      <x:c r="A97" s="2"/>
      <x:c r="B97" s="2"/>
      <x:c r="C97" s="2"/>
      <x:c r="D97" s="2"/>
      <x:c r="E97" s="3"/>
      <x:c r="F97" s="3"/>
      <x:c r="G97" s="6"/>
      <x:c r="H97" s="3"/>
      <x:c r="I97" s="6"/>
      <x:c r="J97" s="2"/>
    </x:row>
    <x:row r="98">
      <x:c r="A98" s="2"/>
      <x:c r="B98" s="2"/>
      <x:c r="C98" s="2"/>
      <x:c r="D98" s="2"/>
      <x:c r="E98" s="3"/>
      <x:c r="F98" s="3"/>
      <x:c r="G98" s="6"/>
      <x:c r="H98" s="3"/>
      <x:c r="I98" s="6"/>
      <x:c r="J98" s="2"/>
    </x:row>
    <x:row r="99">
      <x:c r="A99" s="2"/>
      <x:c r="B99" s="2"/>
      <x:c r="C99" s="2"/>
      <x:c r="D99" s="2"/>
      <x:c r="E99" s="3"/>
      <x:c r="F99" s="3"/>
      <x:c r="G99" s="6"/>
      <x:c r="H99" s="3"/>
      <x:c r="I99" s="6"/>
      <x:c r="J99" s="2"/>
    </x:row>
    <x:row r="100">
      <x:c r="A100" s="2"/>
      <x:c r="B100" s="2"/>
      <x:c r="C100" s="2"/>
      <x:c r="D100" s="2"/>
      <x:c r="E100" s="3"/>
      <x:c r="F100" s="3"/>
      <x:c r="G100" s="6"/>
      <x:c r="H100" s="3"/>
      <x:c r="I100" s="6"/>
      <x:c r="J100" s="2"/>
    </x:row>
  </x:sheetData>
  <x:mergeCells>
    <x:mergeCell ref="A1:J1"/>
  </x:mergeCells>
  <x:conditionalFormatting sqref="H3:H100">
    <x:cfRule type="cellIs" dxfId="2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5572b5c81c4dd9"/>
  </x:tableParts>
</x:worksheet>
</file>

<file path=xl/worksheets/sheet3.xml><?xml version="1.0" encoding="utf-8"?>
<x:worksheet xmlns:x="http://schemas.openxmlformats.org/spreadsheetml/2006/main">
  <x:sheetFormatPr defaultRowHeight="14.25"/>
  <x:cols>
    <x:col min="1" max="1" width="22" customWidth="1"/>
    <x:col min="2" max="2" width="20" customWidth="1"/>
    <x:col min="4" max="4" width="5" customWidth="1"/>
    <x:col min="5" max="5" width="20" customWidth="1"/>
    <x:col min="6" max="8" width="18" customWidth="1"/>
  </x:cols>
  <x:sheetData>
    <x:row r="1" ht="30" customHeight="1">
      <x:c r="A1" s="12" t="s">
        <x:v>59</x:v>
      </x:c>
      <x:c r="B1" s="12"/>
      <x:c r="C1" s="12"/>
      <x:c r="D1" s="12"/>
      <x:c r="E1" s="12"/>
      <x:c r="F1" s="12"/>
      <x:c r="G1" s="12"/>
      <x:c r="H1" s="12"/>
    </x:row>
    <x:row r="3" ht="15">
      <x:c r="A3" s="7" t="str">
        <x:v>Month</x:v>
      </x:c>
      <x:c r="B3" s="47" t="n">
        <x:v>46204</x:v>
      </x:c>
      <x:c r="D3" s="13" t="s">
        <x:v>60</x:v>
      </x:c>
      <x:c r="E3" s="13"/>
      <x:c r="F3" s="13"/>
      <x:c r="G3" s="13"/>
      <x:c r="H3" s="13"/>
    </x:row>
    <x:row r="4" ht="57.75">
      <x:c r="A4" s="7" t="str">
        <x:v>Minimum Required</x:v>
      </x:c>
      <x:c r="B4" s="45" t="e">
        <x:f>SUMIF(Bills!B3:B100,"&lt;&gt;",Bills!E3:E100)</x:f>
      </x:c>
      <x:c r="D4" s="10" t="str">
        <x:v>1</x:v>
      </x:c>
      <x:c r="E4" s="11" t="str">
        <x:v>Update Bills</x:v>
      </x:c>
      <x:c r="F4" s="9" t="str">
        <x:v>Enter current balances, minimum dues, and This Month payments.</x:v>
      </x:c>
      <x:c r="G4" s="9"/>
      <x:c r="H4" s="9"/>
    </x:row>
    <x:row r="5" ht="29.25">
      <x:c r="A5" s="7" t="str">
        <x:v>This Month</x:v>
      </x:c>
      <x:c r="B5" s="45" t="n">
        <x:f>SUMIF(Bills!B3:B100,"&lt;&gt;",Bills!F3:F100)</x:f>
        <x:v>3772.1400000000003</x:v>
      </x:c>
      <x:c r="D5" s="10" t="str">
        <x:v>2</x:v>
      </x:c>
      <x:c r="E5" s="11" t="str">
        <x:v>Update Ally</x:v>
      </x:c>
      <x:c r="F5" s="9" t="str">
        <x:v>Update account and bucket balances.</x:v>
      </x:c>
      <x:c r="G5" s="9"/>
      <x:c r="H5" s="9"/>
    </x:row>
    <x:row r="6" ht="43.5">
      <x:c r="A6" s="7" t="str">
        <x:v>Funding Selected</x:v>
      </x:c>
      <x:c r="B6" s="45" t="n">
        <x:f>SUM('Funding Accounts'!H3:H100)</x:f>
        <x:v>0</x:v>
      </x:c>
      <x:c r="D6" s="10" t="str">
        <x:v>3</x:v>
      </x:c>
      <x:c r="E6" s="11" t="str">
        <x:v>Choose Funding</x:v>
      </x:c>
      <x:c r="F6" s="9" t="str">
        <x:v>Enter Use This Month for each funding source.</x:v>
      </x:c>
      <x:c r="G6" s="9"/>
      <x:c r="H6" s="9"/>
    </x:row>
    <x:row r="7" ht="43.5">
      <x:c r="A7" s="7" t="str">
        <x:v>Remaining to Fund</x:v>
      </x:c>
      <x:c r="B7" s="45" t="n">
        <x:f>MAX(0,B5-B6)</x:f>
        <x:v>3772.1400000000003</x:v>
      </x:c>
      <x:c r="D7" s="10" t="str">
        <x:v>4</x:v>
      </x:c>
      <x:c r="E7" s="11" t="str">
        <x:v>Check Coverage</x:v>
      </x:c>
      <x:c r="F7" s="9" t="str">
        <x:v>Confirm the monthly plan says Fully Funded.</x:v>
      </x:c>
      <x:c r="G7" s="9"/>
      <x:c r="H7" s="9"/>
    </x:row>
    <x:row r="8" ht="29.25">
      <x:c r="A8" s="7" t="str">
        <x:v>Cushion After Funding</x:v>
      </x:c>
      <x:c r="B8" s="45" t="n">
        <x:f>MAX(0,B6-B5)</x:f>
        <x:v>0</x:v>
      </x:c>
      <x:c r="D8" s="10" t="str">
        <x:v>5</x:v>
      </x:c>
      <x:c r="E8" s="11" t="str">
        <x:v>Execute</x:v>
      </x:c>
      <x:c r="F8" s="9" t="str">
        <x:v>Make transfers, pay bills, and mark each bill Paid.</x:v>
      </x:c>
      <x:c r="G8" s="9"/>
      <x:c r="H8" s="9"/>
    </x:row>
    <x:row r="9" ht="29.25">
      <x:c r="A9" s="7" t="str">
        <x:v>Status</x:v>
      </x:c>
      <x:c r="B9" s="5" t="str">
        <x:f>IF(B5=0,"Update bills",IF(B6&gt;=B5,"Fully Funded","Need More Funds"))</x:f>
        <x:v>Need More Funds</x:v>
      </x:c>
      <x:c r="D9" s="10" t="str">
        <x:v>6</x:v>
      </x:c>
      <x:c r="E9" s="11" t="str">
        <x:v>Sync PWA</x:v>
      </x:c>
      <x:c r="F9" s="9" t="str">
        <x:v>Import or export this workbook from the website.</x:v>
      </x:c>
      <x:c r="G9" s="9"/>
      <x:c r="H9" s="9"/>
    </x:row>
  </x:sheetData>
  <x:mergeCells>
    <x:mergeCell ref="A1:H1"/>
    <x:mergeCell ref="D3:H3"/>
  </x:mergeCells>
  <x:conditionalFormatting sqref="B8:B8">
    <x:cfRule type="cellIs" dxfId="1" priority="1" operator="lessThan">
      <x:formula>0</x:formula>
    </x:cfRule>
    <x:cfRule type="cellIs" dxfId="0" priority="2" operator="greaterThanOr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sheetData>
    <x:row r="1" ht="15">
      <x:c r="A1" s="14" t="s">
        <x:v>61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3">
      <x:c r="A3" s="15" t="s">
        <x:v>62</x:v>
      </x:c>
      <x:c r="B3" s="15" t="s">
        <x:v>62</x:v>
      </x:c>
      <x:c r="C3" s="15" t="s">
        <x:v>62</x:v>
      </x:c>
      <x:c r="D3" s="15" t="s">
        <x:v>62</x:v>
      </x:c>
      <x:c r="E3" s="15" t="s">
        <x:v>62</x:v>
      </x:c>
      <x:c r="F3" s="15" t="s">
        <x:v>62</x:v>
      </x:c>
      <x:c r="G3" s="15" t="s">
        <x:v>62</x:v>
      </x:c>
      <x:c r="H3" s="15" t="s">
        <x:v>62</x:v>
      </x:c>
      <x:c r="I3" s="15" t="s">
        <x:v>62</x:v>
      </x:c>
      <x:c r="J3" s="15" t="s">
        <x:v>62</x:v>
      </x:c>
      <x:c r="K3" s="15" t="s">
        <x:v>62</x:v>
      </x:c>
      <x:c r="L3" s="15" t="s">
        <x:v>62</x:v>
      </x:c>
      <x:c r="M3" s="15" t="s">
        <x:v>62</x:v>
      </x:c>
      <x:c r="N3" s="15" t="s">
        <x:v>62</x:v>
      </x:c>
    </x:row>
  </x:sheetData>
  <x:mergeCells>
    <x:mergeCell ref="A1:N1"/>
    <x:mergeCell ref="A3:N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0" customWidth="1"/>
    <x:col min="2" max="2" width="95" customWidth="1"/>
  </x:cols>
  <x:sheetData>
    <x:row r="1" ht="30" customHeight="1">
      <x:c r="A1" s="16" t="s">
        <x:v>63</x:v>
      </x:c>
      <x:c r="B1" s="16"/>
      <x:c r="C1" s="16"/>
      <x:c r="D1" s="16"/>
      <x:c r="E1" s="16"/>
      <x:c r="F1" s="16"/>
    </x:row>
    <x:row r="3" ht="39.95000076293945" customHeight="1">
      <x:c r="A3" s="7" t="str">
        <x:v>Purpose</x:v>
      </x:c>
      <x:c r="B3" s="9" t="str">
        <x:v>Excel stores the portable master copy. The PWA imports it, lets you update bills and Ally buckets, and exports a refreshed workbook.</x:v>
      </x:c>
    </x:row>
    <x:row r="4" ht="39.95000076293945" customHeight="1">
      <x:c r="A4" s="7" t="str">
        <x:v>First test</x:v>
      </x:c>
      <x:c r="B4" s="9" t="str">
        <x:v>Open the public Bills PWA. Choose Import Excel and select Bills_Master_v2.xlsx.</x:v>
      </x:c>
    </x:row>
    <x:row r="5" ht="39.95000076293945" customHeight="1">
      <x:c r="A5" s="7" t="str">
        <x:v>Bills</x:v>
      </x:c>
      <x:c r="B5" s="9" t="str">
        <x:v>Update current balance, minimum due, This Month payment, due date, promo status, promo end date, and payment status.</x:v>
      </x:c>
    </x:row>
    <x:row r="6" ht="39.95000076293945" customHeight="1">
      <x:c r="A6" s="7" t="str">
        <x:v>Funding</x:v>
      </x:c>
      <x:c r="B6" s="9" t="str">
        <x:v>Update Ally checking, savings accounts, buckets, protected amounts, and Use This Month.</x:v>
      </x:c>
    </x:row>
    <x:row r="7" ht="39.95000076293945" customHeight="1">
      <x:c r="A7" s="7" t="str">
        <x:v>Coverage</x:v>
      </x:c>
      <x:c r="B7" s="9" t="str">
        <x:v>The dashboard compares This Month payments with selected funding and shows the shortage or cushion.</x:v>
      </x:c>
    </x:row>
    <x:row r="8" ht="39.95000076293945" customHeight="1">
      <x:c r="A8" s="7" t="str">
        <x:v>Execute</x:v>
      </x:c>
      <x:c r="B8" s="9" t="str">
        <x:v>A bill is considered completed when its Status is Paid. The This Month amount remains the payment amount.</x:v>
      </x:c>
    </x:row>
    <x:row r="9" ht="39.95000076293945" customHeight="1">
      <x:c r="A9" s="7" t="str">
        <x:v>Save</x:v>
      </x:c>
      <x:c r="B9" s="9" t="str">
        <x:v>The PWA stores live data in the browser. Use Export Excel after changes to create a portable backup.</x:v>
      </x:c>
    </x:row>
    <x:row r="10" ht="39.95000076293945" customHeight="1">
      <x:c r="A10" s="7" t="str">
        <x:v>Sync note</x:v>
      </x:c>
      <x:c r="B10" s="9" t="str">
        <x:v>A website cannot silently overwrite your local Excel file. Import and Export is the reliable free sync method.</x:v>
      </x:c>
    </x:row>
  </x:sheetData>
  <x:mergeCells>
    <x:mergeCell ref="A1:F1"/>
  </x:mergeCells>
  <x:pageMargins left="0.7" right="0.7" top="0.75" bottom="0.75" header="0.3" footer="0.3"/>
</x:worksheet>
</file>